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 CHRISTURAJ\Desktop\Data Analyst Portfolio\"/>
    </mc:Choice>
  </mc:AlternateContent>
  <xr:revisionPtr revIDLastSave="0" documentId="8_{BB3B5C1E-B873-4959-B4C3-181DAAB8DCDC}" xr6:coauthVersionLast="47" xr6:coauthVersionMax="47" xr10:uidLastSave="{00000000-0000-0000-0000-000000000000}"/>
  <bookViews>
    <workbookView xWindow="-108" yWindow="-108" windowWidth="23256" windowHeight="13176" xr2:uid="{F7765C7E-B7C1-4208-A5D0-AE0002AE6130}"/>
  </bookViews>
  <sheets>
    <sheet name="Sheet1" sheetId="1" r:id="rId1"/>
    <sheet name="Sheet2" sheetId="2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 a="1"/>
  <c r="J3" i="1" s="1"/>
  <c r="J4" i="1" a="1"/>
  <c r="J4" i="1" s="1"/>
  <c r="J5" i="1" a="1"/>
  <c r="J5" i="1" s="1"/>
  <c r="J6" i="1" a="1"/>
  <c r="J6" i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2" i="1" a="1"/>
  <c r="J2" i="1" s="1"/>
  <c r="H3" i="1"/>
  <c r="H4" i="1"/>
  <c r="H5" i="1"/>
  <c r="H6" i="1"/>
  <c r="H7" i="1"/>
  <c r="H8" i="1"/>
  <c r="H9" i="1"/>
  <c r="H10" i="1"/>
  <c r="H11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<sst xmlns="http://schemas.openxmlformats.org/spreadsheetml/2006/main" count="86" uniqueCount="56">
  <si>
    <t>Location</t>
  </si>
  <si>
    <t>Remarks</t>
  </si>
  <si>
    <t>MEIL_P001</t>
  </si>
  <si>
    <t>Polavaram Canal</t>
  </si>
  <si>
    <t>AP</t>
  </si>
  <si>
    <t>Minor delay</t>
  </si>
  <si>
    <t>MEIL_P002</t>
  </si>
  <si>
    <t>Kaleshwaram Pump</t>
  </si>
  <si>
    <t>TS</t>
  </si>
  <si>
    <t>Material delay</t>
  </si>
  <si>
    <t>MEIL_P003</t>
  </si>
  <si>
    <t>Uddanam Water</t>
  </si>
  <si>
    <t>On time</t>
  </si>
  <si>
    <t>MEIL_P004</t>
  </si>
  <si>
    <t>Zojila Tunnel</t>
  </si>
  <si>
    <t>JK</t>
  </si>
  <si>
    <t>Weather issue</t>
  </si>
  <si>
    <t>MEIL_P005</t>
  </si>
  <si>
    <t>Gas Pipeline</t>
  </si>
  <si>
    <t>GJ</t>
  </si>
  <si>
    <t>Completed</t>
  </si>
  <si>
    <t>MEIL_P006</t>
  </si>
  <si>
    <t>Solar Canal</t>
  </si>
  <si>
    <t>Early finish</t>
  </si>
  <si>
    <t>MEIL_P007</t>
  </si>
  <si>
    <t>Thermal Plant</t>
  </si>
  <si>
    <t>TN</t>
  </si>
  <si>
    <t>Vendor issue</t>
  </si>
  <si>
    <t>MEIL_P008</t>
  </si>
  <si>
    <t>Water Grid</t>
  </si>
  <si>
    <t>Pending update</t>
  </si>
  <si>
    <t>MEIL_P009</t>
  </si>
  <si>
    <t>Highway Package</t>
  </si>
  <si>
    <t>MP</t>
  </si>
  <si>
    <t>MEIL_P010</t>
  </si>
  <si>
    <t>Metro Utility</t>
  </si>
  <si>
    <t>KA</t>
  </si>
  <si>
    <t>Design change</t>
  </si>
  <si>
    <t>Actual Dates</t>
  </si>
  <si>
    <t>Planned</t>
  </si>
  <si>
    <t>Project Name</t>
  </si>
  <si>
    <t>Project ID</t>
  </si>
  <si>
    <t>Planned Progress</t>
  </si>
  <si>
    <t>Actual Progress</t>
  </si>
  <si>
    <t>Delay Days</t>
  </si>
  <si>
    <t>Progress Gap</t>
  </si>
  <si>
    <t>Project Status</t>
  </si>
  <si>
    <t>Row Labels</t>
  </si>
  <si>
    <t>Grand Total</t>
  </si>
  <si>
    <t>Sum of Progress Gap</t>
  </si>
  <si>
    <t>Sum of Delay Days</t>
  </si>
  <si>
    <t>Delayed</t>
  </si>
  <si>
    <t>On Track</t>
  </si>
  <si>
    <t>Average of Planned Progress</t>
  </si>
  <si>
    <t>Average of Actual Progress</t>
  </si>
  <si>
    <t>Average of Progress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</si>
</sst>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CHRISTURAJ" refreshedDate="46044.892037962964" createdVersion="8" refreshedVersion="8" minRefreshableVersion="3" recordCount="10" xr:uid="{8618B652-B126-4492-B613-2BB8F38F5463}">
  <cacheSource type="worksheet">
    <worksheetSource name="Table1"/>
  </cacheSource>
  <cacheFields count="11">
    <cacheField name="Project ID" numFmtId="0">
      <sharedItems/>
    </cacheField>
    <cacheField name="Project Name" numFmtId="0">
      <sharedItems count="10">
        <s v="Polavaram Canal"/>
        <s v="Kaleshwaram Pump"/>
        <s v="Uddanam Water"/>
        <s v="Zojila Tunnel"/>
        <s v="Gas Pipeline"/>
        <s v="Solar Canal"/>
        <s v="Thermal Plant"/>
        <s v="Water Grid"/>
        <s v="Highway Package"/>
        <s v="Metro Utility"/>
      </sharedItems>
    </cacheField>
    <cacheField name="Location" numFmtId="0">
      <sharedItems/>
    </cacheField>
    <cacheField name="Planned" numFmtId="14">
      <sharedItems containsSemiMixedTypes="0" containsNonDate="0" containsDate="1" containsString="0" minDate="2024-01-01T00:00:00" maxDate="2024-03-16T00:00:00"/>
    </cacheField>
    <cacheField name="Actual Dates" numFmtId="0">
      <sharedItems containsNonDate="0" containsDate="1" containsString="0" containsBlank="1" minDate="2024-01-05T00:00:00" maxDate="2024-03-31T00:00:00"/>
    </cacheField>
    <cacheField name="Planned Progress" numFmtId="0">
      <sharedItems containsSemiMixedTypes="0" containsString="0" containsNumber="1" containsInteger="1" minValue="40" maxValue="100"/>
    </cacheField>
    <cacheField name="Actual Progress" numFmtId="0">
      <sharedItems containsSemiMixedTypes="0" containsString="0" containsNumber="1" containsInteger="1" minValue="35" maxValue="100"/>
    </cacheField>
    <cacheField name="Progress Gap" numFmtId="0">
      <sharedItems containsSemiMixedTypes="0" containsString="0" containsNumber="1" containsInteger="1" minValue="0" maxValue="15"/>
    </cacheField>
    <cacheField name="Delay Days" numFmtId="0">
      <sharedItems containsString="0" containsBlank="1" containsNumber="1" containsInteger="1" minValue="-2" maxValue="24"/>
    </cacheField>
    <cacheField name="Project Status" numFmtId="0">
      <sharedItems count="3">
        <s v="Delayed"/>
        <s v="On Track"/>
        <s v="Completed"/>
      </sharedItems>
    </cacheField>
    <cacheField name="Remark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MEIL_P001"/>
    <x v="0"/>
    <s v="AP"/>
    <d v="2024-01-01T00:00:00"/>
    <d v="2024-01-05T00:00:00"/>
    <n v="100"/>
    <n v="98"/>
    <n v="2"/>
    <n v="4"/>
    <x v="0"/>
    <s v="Minor delay"/>
  </r>
  <r>
    <s v="MEIL_P002"/>
    <x v="1"/>
    <s v="TS"/>
    <d v="2024-01-01T00:00:00"/>
    <d v="2024-01-20T00:00:00"/>
    <n v="80"/>
    <n v="65"/>
    <n v="15"/>
    <n v="19"/>
    <x v="0"/>
    <s v="Material delay"/>
  </r>
  <r>
    <s v="MEIL_P003"/>
    <x v="2"/>
    <s v="AP"/>
    <d v="2024-01-10T00:00:00"/>
    <d v="2024-01-10T00:00:00"/>
    <n v="90"/>
    <n v="90"/>
    <n v="0"/>
    <n v="0"/>
    <x v="1"/>
    <s v="On time"/>
  </r>
  <r>
    <s v="MEIL_P004"/>
    <x v="3"/>
    <s v="JK"/>
    <d v="2024-02-01T00:00:00"/>
    <d v="2024-02-25T00:00:00"/>
    <n v="70"/>
    <n v="55"/>
    <n v="15"/>
    <n v="24"/>
    <x v="0"/>
    <s v="Weather issue"/>
  </r>
  <r>
    <s v="MEIL_P005"/>
    <x v="4"/>
    <s v="GJ"/>
    <d v="2024-02-15T00:00:00"/>
    <d v="2024-02-15T00:00:00"/>
    <n v="85"/>
    <n v="85"/>
    <n v="0"/>
    <n v="0"/>
    <x v="1"/>
    <s v="Completed"/>
  </r>
  <r>
    <s v="MEIL_P006"/>
    <x v="5"/>
    <s v="GJ"/>
    <d v="2024-02-20T00:00:00"/>
    <d v="2024-02-18T00:00:00"/>
    <n v="100"/>
    <n v="100"/>
    <n v="0"/>
    <n v="-2"/>
    <x v="2"/>
    <s v="Early finish"/>
  </r>
  <r>
    <s v="MEIL_P007"/>
    <x v="6"/>
    <s v="TN"/>
    <d v="2024-03-01T00:00:00"/>
    <d v="2024-03-20T00:00:00"/>
    <n v="60"/>
    <n v="50"/>
    <n v="10"/>
    <n v="19"/>
    <x v="0"/>
    <s v="Vendor issue"/>
  </r>
  <r>
    <s v="MEIL_P008"/>
    <x v="7"/>
    <s v="TS"/>
    <d v="2024-03-05T00:00:00"/>
    <m/>
    <n v="40"/>
    <n v="35"/>
    <n v="5"/>
    <m/>
    <x v="0"/>
    <s v="Pending update"/>
  </r>
  <r>
    <s v="MEIL_P009"/>
    <x v="8"/>
    <s v="MP"/>
    <d v="2024-03-10T00:00:00"/>
    <d v="2024-03-12T00:00:00"/>
    <n v="75"/>
    <n v="73"/>
    <n v="2"/>
    <n v="2"/>
    <x v="0"/>
    <s v="Minor delay"/>
  </r>
  <r>
    <s v="MEIL_P010"/>
    <x v="9"/>
    <s v="KA"/>
    <d v="2024-03-15T00:00:00"/>
    <d v="2024-03-30T00:00:00"/>
    <n v="50"/>
    <n v="40"/>
    <n v="10"/>
    <n v="15"/>
    <x v="0"/>
    <s v="Design chang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5DA31-0B8D-401F-AF06-C93412AEE8ED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7:F21" firstHeaderRow="1" firstDataRow="1" firstDataCol="1"/>
  <pivotFields count="11">
    <pivotField showAll="0"/>
    <pivotField showAll="0">
      <items count="11">
        <item x="4"/>
        <item x="8"/>
        <item x="1"/>
        <item x="9"/>
        <item x="0"/>
        <item x="5"/>
        <item x="6"/>
        <item x="2"/>
        <item x="7"/>
        <item x="3"/>
        <item t="default"/>
      </items>
    </pivotField>
    <pivotField showAll="0"/>
    <pivotField numFmtId="14" showAll="0"/>
    <pivotField showAll="0"/>
    <pivotField showAll="0"/>
    <pivotField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elay Day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D00C7-9BC1-4F5E-8155-67C8EB595109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C28" firstHeaderRow="0" firstDataRow="1" firstDataCol="1"/>
  <pivotFields count="11">
    <pivotField showAll="0"/>
    <pivotField axis="axisRow" showAll="0">
      <items count="11">
        <item x="4"/>
        <item x="8"/>
        <item x="1"/>
        <item x="9"/>
        <item x="0"/>
        <item x="5"/>
        <item x="6"/>
        <item x="2"/>
        <item x="7"/>
        <item x="3"/>
        <item t="default"/>
      </items>
    </pivotField>
    <pivotField showAll="0"/>
    <pivotField numFmtId="14" showAll="0"/>
    <pivotField showAll="0"/>
    <pivotField showAll="0"/>
    <pivotField showAll="0"/>
    <pivotField dataField="1" showAll="0"/>
    <pivotField dataField="1" showAll="0"/>
    <pivotField showAll="0">
      <items count="4">
        <item x="2"/>
        <item x="0"/>
        <item x="1"/>
        <item t="default"/>
      </items>
    </pivotField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gress Gap" fld="7" baseField="0" baseItem="0"/>
    <dataField name="Sum of Delay Day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DFE6C-907F-4263-9161-6BE8C40E696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" firstHeaderRow="0" firstDataRow="1" firstDataCol="1"/>
  <pivotFields count="11">
    <pivotField showAll="0"/>
    <pivotField axis="axisRow" showAll="0">
      <items count="11">
        <item x="4"/>
        <item x="8"/>
        <item x="1"/>
        <item x="9"/>
        <item x="0"/>
        <item x="5"/>
        <item x="6"/>
        <item x="2"/>
        <item x="7"/>
        <item x="3"/>
        <item t="default"/>
      </items>
    </pivotField>
    <pivotField showAll="0"/>
    <pivotField numFmtId="14" showAll="0"/>
    <pivotField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lanned Progress" fld="5" subtotal="average" baseField="1" baseItem="0"/>
    <dataField name="Average of Actual Progress" fld="6" subtotal="average" baseField="1" baseItem="0"/>
    <dataField name="Average of Progress Gap" fld="7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573A1-C25F-4BB4-A861-8380D1B1366C}" name="Table1" displayName="Table1" ref="A1:K11" totalsRowShown="0" headerRowDxfId="0">
  <autoFilter ref="A1:K11" xr:uid="{C61573A1-C25F-4BB4-A861-8380D1B1366C}"/>
  <tableColumns count="11">
    <tableColumn id="1" xr3:uid="{2512B879-CEE3-42DD-8DB6-32EF2168F941}" name="Project ID"/>
    <tableColumn id="2" xr3:uid="{78BD9E77-5FCE-4D16-BA15-090BC6AC5A10}" name="Project Name"/>
    <tableColumn id="3" xr3:uid="{4FCDB789-030F-403A-AF81-629029C6DED0}" name="Location"/>
    <tableColumn id="4" xr3:uid="{AD2A1A25-AFA1-4154-BF6B-ABA0F41B84EA}" name="Planned" dataDxfId="2"/>
    <tableColumn id="5" xr3:uid="{A5F38894-2380-45D9-816A-85237CD05BE2}" name="Actual Dates" dataDxfId="1"/>
    <tableColumn id="6" xr3:uid="{3A4E233C-1B1F-4CE8-BB47-090E61F19A58}" name="Planned Progress"/>
    <tableColumn id="7" xr3:uid="{0A762FC2-DEC0-47B2-A556-235D1D3E5D07}" name="Actual Progress"/>
    <tableColumn id="8" xr3:uid="{578C4FC2-C881-40B1-AE4D-849999D93B29}" name="Progress Gap">
      <calculatedColumnFormula>F2-G2</calculatedColumnFormula>
    </tableColumn>
    <tableColumn id="9" xr3:uid="{DB3E9716-72E9-46AD-8F14-A632B85970AC}" name="Delay Days"/>
    <tableColumn id="10" xr3:uid="{48E7AB60-896B-4E42-9242-DAF9B92479A5}" name="Project Status">
      <calculatedColumnFormula array="1">_xlfn.IFS(G2=100,"Completed",G2&gt;=F2, "On Track",G2&lt;F2,"Delayed")</calculatedColumnFormula>
    </tableColumn>
    <tableColumn id="11" xr3:uid="{6289BA41-B887-4AD5-8F60-0B4F3A97B706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B456-D7AB-4C2E-B912-054894269069}">
  <dimension ref="A1:K11"/>
  <sheetViews>
    <sheetView tabSelected="1" workbookViewId="0">
      <selection activeCell="B13" sqref="B13"/>
    </sheetView>
  </sheetViews>
  <sheetFormatPr defaultRowHeight="14.4" x14ac:dyDescent="0.3"/>
  <cols>
    <col min="1" max="1" width="13.6640625" bestFit="1" customWidth="1"/>
    <col min="2" max="2" width="17" bestFit="1" customWidth="1"/>
    <col min="3" max="3" width="12.6640625" bestFit="1" customWidth="1"/>
    <col min="4" max="4" width="12.33203125" bestFit="1" customWidth="1"/>
    <col min="5" max="5" width="15.88671875" bestFit="1" customWidth="1"/>
    <col min="6" max="6" width="20" bestFit="1" customWidth="1"/>
    <col min="7" max="7" width="18.44140625" bestFit="1" customWidth="1"/>
    <col min="8" max="8" width="16.33203125" bestFit="1" customWidth="1"/>
    <col min="9" max="9" width="14.5546875" bestFit="1" customWidth="1"/>
    <col min="10" max="10" width="17.109375" bestFit="1" customWidth="1"/>
    <col min="11" max="11" width="13.5546875" bestFit="1" customWidth="1"/>
  </cols>
  <sheetData>
    <row r="1" spans="1:11" x14ac:dyDescent="0.3">
      <c r="A1" s="2" t="s">
        <v>41</v>
      </c>
      <c r="B1" s="2" t="s">
        <v>40</v>
      </c>
      <c r="C1" s="2" t="s">
        <v>0</v>
      </c>
      <c r="D1" s="2" t="s">
        <v>39</v>
      </c>
      <c r="E1" s="2" t="s">
        <v>38</v>
      </c>
      <c r="F1" s="2" t="s">
        <v>42</v>
      </c>
      <c r="G1" s="2" t="s">
        <v>43</v>
      </c>
      <c r="H1" s="2" t="s">
        <v>45</v>
      </c>
      <c r="I1" s="2" t="s">
        <v>44</v>
      </c>
      <c r="J1" s="2" t="s">
        <v>46</v>
      </c>
      <c r="K1" s="2" t="s">
        <v>1</v>
      </c>
    </row>
    <row r="2" spans="1:11" x14ac:dyDescent="0.3">
      <c r="A2" t="s">
        <v>2</v>
      </c>
      <c r="B2" t="s">
        <v>3</v>
      </c>
      <c r="C2" t="s">
        <v>4</v>
      </c>
      <c r="D2" s="1">
        <v>45292</v>
      </c>
      <c r="E2" s="1">
        <v>45296</v>
      </c>
      <c r="F2">
        <v>100</v>
      </c>
      <c r="G2">
        <v>98</v>
      </c>
      <c r="H2">
        <f>F2-G2</f>
        <v>2</v>
      </c>
      <c r="I2">
        <v>4</v>
      </c>
      <c r="J2" t="str" cm="1">
        <f t="array" ref="J2">_xlfn.IFS(G2=100,"Completed",G2&gt;=F2, "On Track",G2&lt;F2,"Delayed")</f>
        <v>Delayed</v>
      </c>
      <c r="K2" t="s">
        <v>5</v>
      </c>
    </row>
    <row r="3" spans="1:11" x14ac:dyDescent="0.3">
      <c r="A3" t="s">
        <v>6</v>
      </c>
      <c r="B3" t="s">
        <v>7</v>
      </c>
      <c r="C3" t="s">
        <v>8</v>
      </c>
      <c r="D3" s="1">
        <v>45292</v>
      </c>
      <c r="E3" s="1">
        <v>45311</v>
      </c>
      <c r="F3">
        <v>80</v>
      </c>
      <c r="G3">
        <v>65</v>
      </c>
      <c r="H3">
        <f t="shared" ref="H3:H11" si="0">F3-G3</f>
        <v>15</v>
      </c>
      <c r="I3">
        <v>19</v>
      </c>
      <c r="J3" t="str" cm="1">
        <f t="array" ref="J3">_xlfn.IFS(G3=100,"Completed",G3&gt;=F3, "On Track",G3&lt;F3,"Delayed")</f>
        <v>Delayed</v>
      </c>
      <c r="K3" t="s">
        <v>9</v>
      </c>
    </row>
    <row r="4" spans="1:11" x14ac:dyDescent="0.3">
      <c r="A4" t="s">
        <v>10</v>
      </c>
      <c r="B4" t="s">
        <v>11</v>
      </c>
      <c r="C4" t="s">
        <v>4</v>
      </c>
      <c r="D4" s="1">
        <v>45301</v>
      </c>
      <c r="E4" s="1">
        <v>45301</v>
      </c>
      <c r="F4">
        <v>90</v>
      </c>
      <c r="G4">
        <v>90</v>
      </c>
      <c r="H4">
        <f t="shared" si="0"/>
        <v>0</v>
      </c>
      <c r="I4">
        <v>0</v>
      </c>
      <c r="J4" t="str" cm="1">
        <f t="array" ref="J4">_xlfn.IFS(G4=100,"Completed",G4&gt;=F4, "On Track",G4&lt;F4,"Delayed")</f>
        <v>On Track</v>
      </c>
      <c r="K4" t="s">
        <v>12</v>
      </c>
    </row>
    <row r="5" spans="1:11" x14ac:dyDescent="0.3">
      <c r="A5" t="s">
        <v>13</v>
      </c>
      <c r="B5" t="s">
        <v>14</v>
      </c>
      <c r="C5" t="s">
        <v>15</v>
      </c>
      <c r="D5" s="1">
        <v>45323</v>
      </c>
      <c r="E5" s="1">
        <v>45347</v>
      </c>
      <c r="F5">
        <v>70</v>
      </c>
      <c r="G5">
        <v>55</v>
      </c>
      <c r="H5">
        <f t="shared" si="0"/>
        <v>15</v>
      </c>
      <c r="I5">
        <v>24</v>
      </c>
      <c r="J5" t="str" cm="1">
        <f t="array" ref="J5">_xlfn.IFS(G5=100,"Completed",G5&gt;=F5, "On Track",G5&lt;F5,"Delayed")</f>
        <v>Delayed</v>
      </c>
      <c r="K5" t="s">
        <v>16</v>
      </c>
    </row>
    <row r="6" spans="1:11" x14ac:dyDescent="0.3">
      <c r="A6" t="s">
        <v>17</v>
      </c>
      <c r="B6" t="s">
        <v>18</v>
      </c>
      <c r="C6" t="s">
        <v>19</v>
      </c>
      <c r="D6" s="1">
        <v>45337</v>
      </c>
      <c r="E6" s="1">
        <v>45337</v>
      </c>
      <c r="F6">
        <v>85</v>
      </c>
      <c r="G6">
        <v>85</v>
      </c>
      <c r="H6">
        <f t="shared" si="0"/>
        <v>0</v>
      </c>
      <c r="I6">
        <v>0</v>
      </c>
      <c r="J6" t="str" cm="1">
        <f t="array" ref="J6">_xlfn.IFS(G6=100,"Completed",G6&gt;=F6, "On Track",G6&lt;F6,"Delayed")</f>
        <v>On Track</v>
      </c>
      <c r="K6" t="s">
        <v>20</v>
      </c>
    </row>
    <row r="7" spans="1:11" x14ac:dyDescent="0.3">
      <c r="A7" t="s">
        <v>21</v>
      </c>
      <c r="B7" t="s">
        <v>22</v>
      </c>
      <c r="C7" t="s">
        <v>19</v>
      </c>
      <c r="D7" s="1">
        <v>45342</v>
      </c>
      <c r="E7" s="1">
        <v>45340</v>
      </c>
      <c r="F7">
        <v>100</v>
      </c>
      <c r="G7">
        <v>100</v>
      </c>
      <c r="H7">
        <f t="shared" si="0"/>
        <v>0</v>
      </c>
      <c r="I7">
        <v>-2</v>
      </c>
      <c r="J7" t="str" cm="1">
        <f t="array" ref="J7">_xlfn.IFS(G7=100,"Completed",G7&gt;=F7, "On Track",G7&lt;F7,"Delayed")</f>
        <v>Completed</v>
      </c>
      <c r="K7" t="s">
        <v>23</v>
      </c>
    </row>
    <row r="8" spans="1:11" x14ac:dyDescent="0.3">
      <c r="A8" t="s">
        <v>24</v>
      </c>
      <c r="B8" t="s">
        <v>25</v>
      </c>
      <c r="C8" t="s">
        <v>26</v>
      </c>
      <c r="D8" s="1">
        <v>45352</v>
      </c>
      <c r="E8" s="1">
        <v>45371</v>
      </c>
      <c r="F8">
        <v>60</v>
      </c>
      <c r="G8">
        <v>50</v>
      </c>
      <c r="H8">
        <f t="shared" si="0"/>
        <v>10</v>
      </c>
      <c r="I8">
        <v>19</v>
      </c>
      <c r="J8" t="str" cm="1">
        <f t="array" ref="J8">_xlfn.IFS(G8=100,"Completed",G8&gt;=F8, "On Track",G8&lt;F8,"Delayed")</f>
        <v>Delayed</v>
      </c>
      <c r="K8" t="s">
        <v>27</v>
      </c>
    </row>
    <row r="9" spans="1:11" x14ac:dyDescent="0.3">
      <c r="A9" t="s">
        <v>28</v>
      </c>
      <c r="B9" t="s">
        <v>29</v>
      </c>
      <c r="C9" t="s">
        <v>8</v>
      </c>
      <c r="D9" s="1">
        <v>45356</v>
      </c>
      <c r="F9">
        <v>40</v>
      </c>
      <c r="G9">
        <v>35</v>
      </c>
      <c r="H9">
        <f t="shared" si="0"/>
        <v>5</v>
      </c>
      <c r="J9" t="str" cm="1">
        <f t="array" ref="J9">_xlfn.IFS(G9=100,"Completed",G9&gt;=F9, "On Track",G9&lt;F9,"Delayed")</f>
        <v>Delayed</v>
      </c>
      <c r="K9" t="s">
        <v>30</v>
      </c>
    </row>
    <row r="10" spans="1:11" x14ac:dyDescent="0.3">
      <c r="A10" t="s">
        <v>31</v>
      </c>
      <c r="B10" t="s">
        <v>32</v>
      </c>
      <c r="C10" t="s">
        <v>33</v>
      </c>
      <c r="D10" s="1">
        <v>45361</v>
      </c>
      <c r="E10" s="1">
        <v>45363</v>
      </c>
      <c r="F10">
        <v>75</v>
      </c>
      <c r="G10">
        <v>73</v>
      </c>
      <c r="H10">
        <f t="shared" si="0"/>
        <v>2</v>
      </c>
      <c r="I10">
        <v>2</v>
      </c>
      <c r="J10" t="str" cm="1">
        <f t="array" ref="J10">_xlfn.IFS(G10=100,"Completed",G10&gt;=F10, "On Track",G10&lt;F10,"Delayed")</f>
        <v>Delayed</v>
      </c>
      <c r="K10" t="s">
        <v>5</v>
      </c>
    </row>
    <row r="11" spans="1:11" x14ac:dyDescent="0.3">
      <c r="A11" t="s">
        <v>34</v>
      </c>
      <c r="B11" t="s">
        <v>35</v>
      </c>
      <c r="C11" t="s">
        <v>36</v>
      </c>
      <c r="D11" s="1">
        <v>45366</v>
      </c>
      <c r="E11" s="1">
        <v>45381</v>
      </c>
      <c r="F11">
        <v>50</v>
      </c>
      <c r="G11">
        <v>40</v>
      </c>
      <c r="H11">
        <f t="shared" si="0"/>
        <v>10</v>
      </c>
      <c r="I11">
        <v>15</v>
      </c>
      <c r="J11" t="str" cm="1">
        <f t="array" ref="J11">_xlfn.IFS(G11=100,"Completed",G11&gt;=F11, "On Track",G11&lt;F11,"Delayed")</f>
        <v>Delayed</v>
      </c>
      <c r="K11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4ECB9-DA2C-4518-9272-CCE4596CCD36}">
  <dimension ref="A3:F28"/>
  <sheetViews>
    <sheetView workbookViewId="0">
      <selection activeCell="G9" sqref="G9"/>
    </sheetView>
  </sheetViews>
  <sheetFormatPr defaultRowHeight="14.4" x14ac:dyDescent="0.3"/>
  <cols>
    <col min="1" max="1" width="17" bestFit="1" customWidth="1"/>
    <col min="2" max="2" width="25.44140625" bestFit="1" customWidth="1"/>
    <col min="3" max="3" width="23.77734375" bestFit="1" customWidth="1"/>
    <col min="4" max="4" width="21.77734375" bestFit="1" customWidth="1"/>
    <col min="5" max="5" width="12.5546875" bestFit="1" customWidth="1"/>
    <col min="6" max="7" width="16.6640625" bestFit="1" customWidth="1"/>
  </cols>
  <sheetData>
    <row r="3" spans="1:4" x14ac:dyDescent="0.3">
      <c r="A3" s="3" t="s">
        <v>47</v>
      </c>
      <c r="B3" t="s">
        <v>53</v>
      </c>
      <c r="C3" t="s">
        <v>54</v>
      </c>
      <c r="D3" t="s">
        <v>55</v>
      </c>
    </row>
    <row r="4" spans="1:4" x14ac:dyDescent="0.3">
      <c r="A4" s="4" t="s">
        <v>18</v>
      </c>
      <c r="B4" s="5">
        <v>85</v>
      </c>
      <c r="C4" s="5">
        <v>85</v>
      </c>
      <c r="D4" s="5">
        <v>0</v>
      </c>
    </row>
    <row r="5" spans="1:4" x14ac:dyDescent="0.3">
      <c r="A5" s="4" t="s">
        <v>32</v>
      </c>
      <c r="B5" s="5">
        <v>75</v>
      </c>
      <c r="C5" s="5">
        <v>73</v>
      </c>
      <c r="D5" s="5">
        <v>2</v>
      </c>
    </row>
    <row r="6" spans="1:4" x14ac:dyDescent="0.3">
      <c r="A6" s="4" t="s">
        <v>7</v>
      </c>
      <c r="B6" s="5">
        <v>80</v>
      </c>
      <c r="C6" s="5">
        <v>65</v>
      </c>
      <c r="D6" s="5">
        <v>15</v>
      </c>
    </row>
    <row r="7" spans="1:4" x14ac:dyDescent="0.3">
      <c r="A7" s="4" t="s">
        <v>35</v>
      </c>
      <c r="B7" s="5">
        <v>50</v>
      </c>
      <c r="C7" s="5">
        <v>40</v>
      </c>
      <c r="D7" s="5">
        <v>10</v>
      </c>
    </row>
    <row r="8" spans="1:4" x14ac:dyDescent="0.3">
      <c r="A8" s="4" t="s">
        <v>3</v>
      </c>
      <c r="B8" s="5">
        <v>100</v>
      </c>
      <c r="C8" s="5">
        <v>98</v>
      </c>
      <c r="D8" s="5">
        <v>2</v>
      </c>
    </row>
    <row r="9" spans="1:4" x14ac:dyDescent="0.3">
      <c r="A9" s="4" t="s">
        <v>22</v>
      </c>
      <c r="B9" s="5">
        <v>100</v>
      </c>
      <c r="C9" s="5">
        <v>100</v>
      </c>
      <c r="D9" s="5">
        <v>0</v>
      </c>
    </row>
    <row r="10" spans="1:4" x14ac:dyDescent="0.3">
      <c r="A10" s="4" t="s">
        <v>25</v>
      </c>
      <c r="B10" s="5">
        <v>60</v>
      </c>
      <c r="C10" s="5">
        <v>50</v>
      </c>
      <c r="D10" s="5">
        <v>10</v>
      </c>
    </row>
    <row r="11" spans="1:4" x14ac:dyDescent="0.3">
      <c r="A11" s="4" t="s">
        <v>11</v>
      </c>
      <c r="B11" s="5">
        <v>90</v>
      </c>
      <c r="C11" s="5">
        <v>90</v>
      </c>
      <c r="D11" s="5">
        <v>0</v>
      </c>
    </row>
    <row r="12" spans="1:4" x14ac:dyDescent="0.3">
      <c r="A12" s="4" t="s">
        <v>29</v>
      </c>
      <c r="B12" s="5">
        <v>40</v>
      </c>
      <c r="C12" s="5">
        <v>35</v>
      </c>
      <c r="D12" s="5">
        <v>5</v>
      </c>
    </row>
    <row r="13" spans="1:4" x14ac:dyDescent="0.3">
      <c r="A13" s="4" t="s">
        <v>14</v>
      </c>
      <c r="B13" s="5">
        <v>70</v>
      </c>
      <c r="C13" s="5">
        <v>55</v>
      </c>
      <c r="D13" s="5">
        <v>15</v>
      </c>
    </row>
    <row r="14" spans="1:4" x14ac:dyDescent="0.3">
      <c r="A14" s="4" t="s">
        <v>48</v>
      </c>
      <c r="B14" s="5">
        <v>75</v>
      </c>
      <c r="C14" s="5">
        <v>69.099999999999994</v>
      </c>
      <c r="D14" s="5">
        <v>5.9</v>
      </c>
    </row>
    <row r="17" spans="1:6" x14ac:dyDescent="0.3">
      <c r="A17" s="3" t="s">
        <v>47</v>
      </c>
      <c r="B17" t="s">
        <v>49</v>
      </c>
      <c r="C17" t="s">
        <v>50</v>
      </c>
      <c r="E17" s="3" t="s">
        <v>47</v>
      </c>
      <c r="F17" t="s">
        <v>50</v>
      </c>
    </row>
    <row r="18" spans="1:6" x14ac:dyDescent="0.3">
      <c r="A18" s="4" t="s">
        <v>18</v>
      </c>
      <c r="B18" s="5">
        <v>0</v>
      </c>
      <c r="C18" s="5">
        <v>0</v>
      </c>
      <c r="E18" s="4" t="s">
        <v>20</v>
      </c>
      <c r="F18" s="5">
        <v>-2</v>
      </c>
    </row>
    <row r="19" spans="1:6" x14ac:dyDescent="0.3">
      <c r="A19" s="4" t="s">
        <v>32</v>
      </c>
      <c r="B19" s="5">
        <v>2</v>
      </c>
      <c r="C19" s="5">
        <v>2</v>
      </c>
      <c r="E19" s="4" t="s">
        <v>51</v>
      </c>
      <c r="F19" s="5">
        <v>83</v>
      </c>
    </row>
    <row r="20" spans="1:6" x14ac:dyDescent="0.3">
      <c r="A20" s="4" t="s">
        <v>7</v>
      </c>
      <c r="B20" s="5">
        <v>15</v>
      </c>
      <c r="C20" s="5">
        <v>19</v>
      </c>
      <c r="E20" s="4" t="s">
        <v>52</v>
      </c>
      <c r="F20" s="5">
        <v>0</v>
      </c>
    </row>
    <row r="21" spans="1:6" x14ac:dyDescent="0.3">
      <c r="A21" s="4" t="s">
        <v>35</v>
      </c>
      <c r="B21" s="5">
        <v>10</v>
      </c>
      <c r="C21" s="5">
        <v>15</v>
      </c>
      <c r="E21" s="4" t="s">
        <v>48</v>
      </c>
      <c r="F21" s="5">
        <v>81</v>
      </c>
    </row>
    <row r="22" spans="1:6" x14ac:dyDescent="0.3">
      <c r="A22" s="4" t="s">
        <v>3</v>
      </c>
      <c r="B22" s="5">
        <v>2</v>
      </c>
      <c r="C22" s="5">
        <v>4</v>
      </c>
    </row>
    <row r="23" spans="1:6" x14ac:dyDescent="0.3">
      <c r="A23" s="4" t="s">
        <v>22</v>
      </c>
      <c r="B23" s="5">
        <v>0</v>
      </c>
      <c r="C23" s="5">
        <v>-2</v>
      </c>
    </row>
    <row r="24" spans="1:6" x14ac:dyDescent="0.3">
      <c r="A24" s="4" t="s">
        <v>25</v>
      </c>
      <c r="B24" s="5">
        <v>10</v>
      </c>
      <c r="C24" s="5">
        <v>19</v>
      </c>
    </row>
    <row r="25" spans="1:6" x14ac:dyDescent="0.3">
      <c r="A25" s="4" t="s">
        <v>11</v>
      </c>
      <c r="B25" s="5">
        <v>0</v>
      </c>
      <c r="C25" s="5">
        <v>0</v>
      </c>
    </row>
    <row r="26" spans="1:6" x14ac:dyDescent="0.3">
      <c r="A26" s="4" t="s">
        <v>29</v>
      </c>
      <c r="B26" s="5">
        <v>5</v>
      </c>
      <c r="C26" s="5"/>
    </row>
    <row r="27" spans="1:6" x14ac:dyDescent="0.3">
      <c r="A27" s="4" t="s">
        <v>14</v>
      </c>
      <c r="B27" s="5">
        <v>15</v>
      </c>
      <c r="C27" s="5">
        <v>24</v>
      </c>
    </row>
    <row r="28" spans="1:6" x14ac:dyDescent="0.3">
      <c r="A28" s="4" t="s">
        <v>48</v>
      </c>
      <c r="B28" s="5">
        <v>59</v>
      </c>
      <c r="C28" s="5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Christu Raj</dc:creator>
  <cp:lastModifiedBy>John Christu Raj</cp:lastModifiedBy>
  <dcterms:created xsi:type="dcterms:W3CDTF">2026-01-17T15:22:20Z</dcterms:created>
  <dcterms:modified xsi:type="dcterms:W3CDTF">2026-01-22T16:00:40Z</dcterms:modified>
</cp:coreProperties>
</file>