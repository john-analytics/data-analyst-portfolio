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CHRISTURAJ\Desktop\"/>
    </mc:Choice>
  </mc:AlternateContent>
  <xr:revisionPtr revIDLastSave="0" documentId="8_{1B7AE2AD-36A5-4F46-8543-CBD05C5CB8D7}" xr6:coauthVersionLast="47" xr6:coauthVersionMax="47" xr10:uidLastSave="{00000000-0000-0000-0000-000000000000}"/>
  <bookViews>
    <workbookView xWindow="-108" yWindow="-108" windowWidth="23256" windowHeight="13176" xr2:uid="{F607E0C1-9D39-4C18-9645-5294F2DCDAA5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/>
  <c r="I4" i="1" a="1"/>
  <c r="I4" i="1"/>
  <c r="I5" i="1" a="1"/>
  <c r="I5" i="1" s="1"/>
  <c r="I6" i="1" a="1"/>
  <c r="I6" i="1" s="1"/>
  <c r="I7" i="1" a="1"/>
  <c r="I7" i="1"/>
  <c r="I8" i="1" a="1"/>
  <c r="I8" i="1"/>
  <c r="I9" i="1" a="1"/>
  <c r="I9" i="1" s="1"/>
  <c r="I10" i="1" a="1"/>
  <c r="I10" i="1"/>
  <c r="I11" i="1" a="1"/>
  <c r="I11" i="1"/>
  <c r="I12" i="1" a="1"/>
  <c r="I12" i="1"/>
  <c r="I13" i="1" a="1"/>
  <c r="I13" i="1" s="1"/>
  <c r="I14" i="1" a="1"/>
  <c r="I14" i="1"/>
  <c r="I15" i="1" a="1"/>
  <c r="I15" i="1"/>
  <c r="I16" i="1" a="1"/>
  <c r="I16" i="1"/>
  <c r="I17" i="1" a="1"/>
  <c r="I17" i="1" s="1"/>
  <c r="I18" i="1" a="1"/>
  <c r="I18" i="1"/>
  <c r="I19" i="1" a="1"/>
  <c r="I19" i="1"/>
  <c r="I20" i="1" a="1"/>
  <c r="I20" i="1"/>
  <c r="I21" i="1" a="1"/>
  <c r="I21" i="1" s="1"/>
  <c r="I22" i="1" a="1"/>
  <c r="I22" i="1"/>
  <c r="I23" i="1" a="1"/>
  <c r="I23" i="1"/>
  <c r="I24" i="1" a="1"/>
  <c r="I24" i="1"/>
  <c r="I25" i="1" a="1"/>
  <c r="I25" i="1" s="1"/>
  <c r="I26" i="1" a="1"/>
  <c r="I26" i="1"/>
  <c r="I27" i="1" a="1"/>
  <c r="I27" i="1"/>
  <c r="I28" i="1" a="1"/>
  <c r="I28" i="1"/>
  <c r="I29" i="1" a="1"/>
  <c r="I29" i="1" s="1"/>
  <c r="I30" i="1" a="1"/>
  <c r="I30" i="1"/>
  <c r="I31" i="1" a="1"/>
  <c r="I31" i="1"/>
  <c r="I32" i="1" a="1"/>
  <c r="I32" i="1"/>
  <c r="I33" i="1" a="1"/>
  <c r="I33" i="1" s="1"/>
  <c r="I34" i="1" a="1"/>
  <c r="I34" i="1"/>
  <c r="I35" i="1" a="1"/>
  <c r="I35" i="1"/>
  <c r="I36" i="1" a="1"/>
  <c r="I36" i="1" s="1"/>
  <c r="I37" i="1" a="1"/>
  <c r="I37" i="1" s="1"/>
  <c r="I38" i="1" a="1"/>
  <c r="I38" i="1"/>
  <c r="I39" i="1" a="1"/>
  <c r="I39" i="1"/>
  <c r="I40" i="1" a="1"/>
  <c r="I40" i="1" s="1"/>
  <c r="I41" i="1" a="1"/>
  <c r="I41" i="1" s="1"/>
  <c r="I42" i="1" a="1"/>
  <c r="I42" i="1"/>
  <c r="I43" i="1" a="1"/>
  <c r="I43" i="1"/>
  <c r="I44" i="1" a="1"/>
  <c r="I44" i="1" s="1"/>
  <c r="I45" i="1" a="1"/>
  <c r="I45" i="1" s="1"/>
  <c r="I46" i="1" a="1"/>
  <c r="I46" i="1"/>
  <c r="I47" i="1" a="1"/>
  <c r="I47" i="1"/>
  <c r="I48" i="1" a="1"/>
  <c r="I48" i="1" s="1"/>
  <c r="I49" i="1" a="1"/>
  <c r="I49" i="1" s="1"/>
  <c r="I50" i="1" a="1"/>
  <c r="I50" i="1"/>
  <c r="I51" i="1" a="1"/>
  <c r="I51" i="1"/>
  <c r="I52" i="1" a="1"/>
  <c r="I52" i="1" s="1"/>
  <c r="I53" i="1" a="1"/>
  <c r="I53" i="1" s="1"/>
  <c r="I54" i="1" a="1"/>
  <c r="I54" i="1"/>
  <c r="I55" i="1" a="1"/>
  <c r="I55" i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<sst xmlns="http://schemas.openxmlformats.org/spreadsheetml/2006/main" count="265" uniqueCount="55">
  <si>
    <t>Month</t>
  </si>
  <si>
    <t>Department</t>
  </si>
  <si>
    <t>Status</t>
  </si>
  <si>
    <t>IRRIGATION</t>
  </si>
  <si>
    <t>Ravi Kumar</t>
  </si>
  <si>
    <t>Water Supply</t>
  </si>
  <si>
    <t>ROADS</t>
  </si>
  <si>
    <t>Oil &amp; Gas</t>
  </si>
  <si>
    <t>Prakash</t>
  </si>
  <si>
    <t>POWER</t>
  </si>
  <si>
    <t>Project Manager Details</t>
  </si>
  <si>
    <t>Manpower Count</t>
  </si>
  <si>
    <t>Total Expense Cr</t>
  </si>
  <si>
    <t>Project ID</t>
  </si>
  <si>
    <t>Revenue Cr</t>
  </si>
  <si>
    <t>Project Name</t>
  </si>
  <si>
    <t>MEIL_P301</t>
  </si>
  <si>
    <t>Kaleshwaram Lift Irrigation</t>
  </si>
  <si>
    <t>Arun Reddy</t>
  </si>
  <si>
    <t>MEIL_P302</t>
  </si>
  <si>
    <t>Polavaram Canal Package</t>
  </si>
  <si>
    <t>Krishna Mohan</t>
  </si>
  <si>
    <t>MEIL_P303</t>
  </si>
  <si>
    <t>Zojila Tunnel Project</t>
  </si>
  <si>
    <t>Imran Khan</t>
  </si>
  <si>
    <t>MEIL_P304</t>
  </si>
  <si>
    <t>Tuticorin Thermal Power</t>
  </si>
  <si>
    <t>Sridhar Rao</t>
  </si>
  <si>
    <t>MEIL_P305</t>
  </si>
  <si>
    <t>Uddanam Drinking Water</t>
  </si>
  <si>
    <t>MEIL_P306</t>
  </si>
  <si>
    <t>Hyderabad Water Grid</t>
  </si>
  <si>
    <t>Mahesh Kumar</t>
  </si>
  <si>
    <t>MEIL_P307</t>
  </si>
  <si>
    <t>Surat Gas Pipeline</t>
  </si>
  <si>
    <t>MEIL_P308</t>
  </si>
  <si>
    <t>Vadodara Solar Canal</t>
  </si>
  <si>
    <t>Sai Teja</t>
  </si>
  <si>
    <t>Grand Total</t>
  </si>
  <si>
    <t>Row Labels</t>
  </si>
  <si>
    <t>Sum of Manpower Count</t>
  </si>
  <si>
    <t>Sum of Revenue Cr</t>
  </si>
  <si>
    <t>Sum of Total Expense Cr</t>
  </si>
  <si>
    <t>Mar</t>
  </si>
  <si>
    <t>Apr</t>
  </si>
  <si>
    <t>May</t>
  </si>
  <si>
    <t>Jun</t>
  </si>
  <si>
    <t>Jul</t>
  </si>
  <si>
    <t>Jan</t>
  </si>
  <si>
    <t>Feb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</si>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</sst>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3">
    <dxf>
      <numFmt numFmtId="164" formatCode="[$-F800]dddd\,\ mmmm\ dd\,\ 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CHRISTURAJ" refreshedDate="46041.513476157408" createdVersion="8" refreshedVersion="8" minRefreshableVersion="3" recordCount="54" xr:uid="{D8578BC3-8720-401B-B599-60BC2E408DC8}">
  <cacheSource type="worksheet">
    <worksheetSource ref="A1:I55" sheet="Sheet1"/>
  </cacheSource>
  <cacheFields count="11">
    <cacheField name="Project ID" numFmtId="0">
      <sharedItems/>
    </cacheField>
    <cacheField name="Project Name" numFmtId="0">
      <sharedItems count="8">
        <s v="Kaleshwaram Lift Irrigation"/>
        <s v="Polavaram Canal Package"/>
        <s v="Zojila Tunnel Project"/>
        <s v="Tuticorin Thermal Power"/>
        <s v="Uddanam Drinking Water"/>
        <s v="Hyderabad Water Grid"/>
        <s v="Surat Gas Pipeline"/>
        <s v="Vadodara Solar Canal"/>
      </sharedItems>
    </cacheField>
    <cacheField name="Month" numFmtId="14">
      <sharedItems containsSemiMixedTypes="0" containsNonDate="0" containsDate="1" containsString="0" minDate="2024-01-01T00:00:00" maxDate="2024-12-02T00:00:00" count="12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10"/>
    </cacheField>
    <cacheField name="Department" numFmtId="0">
      <sharedItems count="5">
        <s v="IRRIGATION"/>
        <s v="ROADS"/>
        <s v="POWER"/>
        <s v="Water Supply"/>
        <s v="Oil &amp; Gas"/>
      </sharedItems>
    </cacheField>
    <cacheField name="Total Expense Cr" numFmtId="0">
      <sharedItems containsSemiMixedTypes="0" containsString="0" containsNumber="1" containsInteger="1" minValue="6" maxValue="72"/>
    </cacheField>
    <cacheField name="Revenue Cr" numFmtId="0">
      <sharedItems containsSemiMixedTypes="0" containsString="0" containsNumber="1" containsInteger="1" minValue="8" maxValue="78"/>
    </cacheField>
    <cacheField name="Manpower Count" numFmtId="0">
      <sharedItems containsSemiMixedTypes="0" containsString="0" containsNumber="1" containsInteger="1" minValue="70" maxValue="700" count="35">
        <n v="480"/>
        <n v="500"/>
        <n v="520"/>
        <n v="540"/>
        <n v="560"/>
        <n v="580"/>
        <n v="600"/>
        <n v="620"/>
        <n v="640"/>
        <n v="660"/>
        <n v="680"/>
        <n v="700"/>
        <n v="420"/>
        <n v="440"/>
        <n v="460"/>
        <n v="360"/>
        <n v="380"/>
        <n v="400"/>
        <n v="300"/>
        <n v="320"/>
        <n v="340"/>
        <n v="95"/>
        <n v="100"/>
        <n v="105"/>
        <n v="110"/>
        <n v="130"/>
        <n v="135"/>
        <n v="140"/>
        <n v="145"/>
        <n v="150"/>
        <n v="115"/>
        <n v="120"/>
        <n v="70"/>
        <n v="72"/>
        <n v="75"/>
      </sharedItems>
    </cacheField>
    <cacheField name="Project Manager Details" numFmtId="0">
      <sharedItems count="8">
        <s v="Arun Reddy"/>
        <s v="Krishna Mohan"/>
        <s v="Imran Khan"/>
        <s v="Sridhar Rao"/>
        <s v="Ravi Kumar"/>
        <s v="Mahesh Kumar"/>
        <s v="Prakash"/>
        <s v="Sai Teja"/>
      </sharedItems>
    </cacheField>
    <cacheField name="Status" numFmtId="0">
      <sharedItems/>
    </cacheField>
    <cacheField name="Days (Month)" numFmtId="0" databaseField="0">
      <fieldGroup base="2">
        <rangePr groupBy="days" startDate="2024-01-01T00:00:00" endDate="2024-12-02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4"/>
        </groupItems>
      </fieldGroup>
    </cacheField>
    <cacheField name="Months (Month)" numFmtId="0" databaseField="0">
      <fieldGroup base="2">
        <rangePr groupBy="months" startDate="2024-01-01T00:00:00" endDate="2024-12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MEIL_P301"/>
    <x v="0"/>
    <x v="0"/>
    <x v="0"/>
    <n v="45"/>
    <n v="48"/>
    <x v="0"/>
    <x v="0"/>
    <s v="Profit"/>
  </r>
  <r>
    <s v="MEIL_P301"/>
    <x v="0"/>
    <x v="1"/>
    <x v="0"/>
    <n v="48"/>
    <n v="52"/>
    <x v="1"/>
    <x v="0"/>
    <s v="Profit"/>
  </r>
  <r>
    <s v="MEIL_P301"/>
    <x v="0"/>
    <x v="2"/>
    <x v="0"/>
    <n v="50"/>
    <n v="54"/>
    <x v="2"/>
    <x v="0"/>
    <s v="Profit"/>
  </r>
  <r>
    <s v="MEIL_P301"/>
    <x v="0"/>
    <x v="3"/>
    <x v="0"/>
    <n v="52"/>
    <n v="50"/>
    <x v="3"/>
    <x v="0"/>
    <s v="Loss"/>
  </r>
  <r>
    <s v="MEIL_P301"/>
    <x v="0"/>
    <x v="4"/>
    <x v="0"/>
    <n v="55"/>
    <n v="60"/>
    <x v="4"/>
    <x v="0"/>
    <s v="Profit"/>
  </r>
  <r>
    <s v="MEIL_P301"/>
    <x v="0"/>
    <x v="5"/>
    <x v="0"/>
    <n v="58"/>
    <n v="63"/>
    <x v="5"/>
    <x v="0"/>
    <s v="Profit"/>
  </r>
  <r>
    <s v="MEIL_P301"/>
    <x v="0"/>
    <x v="6"/>
    <x v="0"/>
    <n v="60"/>
    <n v="65"/>
    <x v="6"/>
    <x v="0"/>
    <s v="Profit"/>
  </r>
  <r>
    <s v="MEIL_P301"/>
    <x v="0"/>
    <x v="7"/>
    <x v="0"/>
    <n v="62"/>
    <n v="68"/>
    <x v="7"/>
    <x v="0"/>
    <s v="Profit"/>
  </r>
  <r>
    <s v="MEIL_P301"/>
    <x v="0"/>
    <x v="8"/>
    <x v="0"/>
    <n v="65"/>
    <n v="70"/>
    <x v="8"/>
    <x v="0"/>
    <s v="Profit"/>
  </r>
  <r>
    <s v="MEIL_P301"/>
    <x v="0"/>
    <x v="9"/>
    <x v="0"/>
    <n v="68"/>
    <n v="66"/>
    <x v="9"/>
    <x v="0"/>
    <s v="Loss"/>
  </r>
  <r>
    <s v="MEIL_P301"/>
    <x v="0"/>
    <x v="10"/>
    <x v="0"/>
    <n v="70"/>
    <n v="75"/>
    <x v="10"/>
    <x v="0"/>
    <s v="Profit"/>
  </r>
  <r>
    <s v="MEIL_P301"/>
    <x v="0"/>
    <x v="11"/>
    <x v="0"/>
    <n v="72"/>
    <n v="78"/>
    <x v="11"/>
    <x v="0"/>
    <s v="Profit"/>
  </r>
  <r>
    <s v="MEIL_P302"/>
    <x v="1"/>
    <x v="2"/>
    <x v="0"/>
    <n v="38"/>
    <n v="42"/>
    <x v="12"/>
    <x v="1"/>
    <s v="Profit"/>
  </r>
  <r>
    <s v="MEIL_P302"/>
    <x v="1"/>
    <x v="3"/>
    <x v="0"/>
    <n v="40"/>
    <n v="44"/>
    <x v="13"/>
    <x v="1"/>
    <s v="Profit"/>
  </r>
  <r>
    <s v="MEIL_P302"/>
    <x v="1"/>
    <x v="4"/>
    <x v="0"/>
    <n v="42"/>
    <n v="46"/>
    <x v="14"/>
    <x v="1"/>
    <s v="Profit"/>
  </r>
  <r>
    <s v="MEIL_P302"/>
    <x v="1"/>
    <x v="5"/>
    <x v="0"/>
    <n v="44"/>
    <n v="43"/>
    <x v="0"/>
    <x v="1"/>
    <s v="Loss"/>
  </r>
  <r>
    <s v="MEIL_P302"/>
    <x v="1"/>
    <x v="6"/>
    <x v="0"/>
    <n v="46"/>
    <n v="50"/>
    <x v="1"/>
    <x v="1"/>
    <s v="Profit"/>
  </r>
  <r>
    <s v="MEIL_P302"/>
    <x v="1"/>
    <x v="7"/>
    <x v="0"/>
    <n v="48"/>
    <n v="52"/>
    <x v="2"/>
    <x v="1"/>
    <s v="Profit"/>
  </r>
  <r>
    <s v="MEIL_P302"/>
    <x v="1"/>
    <x v="8"/>
    <x v="0"/>
    <n v="50"/>
    <n v="55"/>
    <x v="3"/>
    <x v="1"/>
    <s v="Profit"/>
  </r>
  <r>
    <s v="MEIL_P302"/>
    <x v="1"/>
    <x v="9"/>
    <x v="0"/>
    <n v="52"/>
    <n v="57"/>
    <x v="4"/>
    <x v="1"/>
    <s v="Profit"/>
  </r>
  <r>
    <s v="MEIL_P302"/>
    <x v="1"/>
    <x v="10"/>
    <x v="0"/>
    <n v="54"/>
    <n v="60"/>
    <x v="5"/>
    <x v="1"/>
    <s v="Profit"/>
  </r>
  <r>
    <s v="MEIL_P303"/>
    <x v="2"/>
    <x v="0"/>
    <x v="1"/>
    <n v="32"/>
    <n v="35"/>
    <x v="15"/>
    <x v="2"/>
    <s v="Profit"/>
  </r>
  <r>
    <s v="MEIL_P303"/>
    <x v="2"/>
    <x v="1"/>
    <x v="1"/>
    <n v="34"/>
    <n v="38"/>
    <x v="16"/>
    <x v="2"/>
    <s v="Profit"/>
  </r>
  <r>
    <s v="MEIL_P303"/>
    <x v="2"/>
    <x v="2"/>
    <x v="1"/>
    <n v="36"/>
    <n v="34"/>
    <x v="17"/>
    <x v="2"/>
    <s v="Loss"/>
  </r>
  <r>
    <s v="MEIL_P303"/>
    <x v="2"/>
    <x v="3"/>
    <x v="1"/>
    <n v="38"/>
    <n v="42"/>
    <x v="12"/>
    <x v="2"/>
    <s v="Profit"/>
  </r>
  <r>
    <s v="MEIL_P303"/>
    <x v="2"/>
    <x v="4"/>
    <x v="1"/>
    <n v="40"/>
    <n v="45"/>
    <x v="13"/>
    <x v="2"/>
    <s v="Profit"/>
  </r>
  <r>
    <s v="MEIL_P303"/>
    <x v="2"/>
    <x v="5"/>
    <x v="1"/>
    <n v="42"/>
    <n v="47"/>
    <x v="14"/>
    <x v="2"/>
    <s v="Profit"/>
  </r>
  <r>
    <s v="MEIL_P303"/>
    <x v="2"/>
    <x v="6"/>
    <x v="1"/>
    <n v="44"/>
    <n v="50"/>
    <x v="0"/>
    <x v="2"/>
    <s v="Profit"/>
  </r>
  <r>
    <s v="MEIL_P303"/>
    <x v="2"/>
    <x v="7"/>
    <x v="1"/>
    <n v="46"/>
    <n v="52"/>
    <x v="1"/>
    <x v="2"/>
    <s v="Profit"/>
  </r>
  <r>
    <s v="MEIL_P303"/>
    <x v="2"/>
    <x v="8"/>
    <x v="1"/>
    <n v="48"/>
    <n v="46"/>
    <x v="2"/>
    <x v="2"/>
    <s v="Loss"/>
  </r>
  <r>
    <s v="MEIL_P303"/>
    <x v="2"/>
    <x v="9"/>
    <x v="1"/>
    <n v="50"/>
    <n v="55"/>
    <x v="3"/>
    <x v="2"/>
    <s v="Profit"/>
  </r>
  <r>
    <s v="MEIL_P304"/>
    <x v="3"/>
    <x v="1"/>
    <x v="2"/>
    <n v="28"/>
    <n v="30"/>
    <x v="18"/>
    <x v="3"/>
    <s v="Profit"/>
  </r>
  <r>
    <s v="MEIL_P304"/>
    <x v="3"/>
    <x v="2"/>
    <x v="2"/>
    <n v="30"/>
    <n v="33"/>
    <x v="19"/>
    <x v="3"/>
    <s v="Profit"/>
  </r>
  <r>
    <s v="MEIL_P304"/>
    <x v="3"/>
    <x v="3"/>
    <x v="2"/>
    <n v="32"/>
    <n v="35"/>
    <x v="20"/>
    <x v="3"/>
    <s v="Profit"/>
  </r>
  <r>
    <s v="MEIL_P304"/>
    <x v="3"/>
    <x v="4"/>
    <x v="2"/>
    <n v="34"/>
    <n v="37"/>
    <x v="15"/>
    <x v="3"/>
    <s v="Profit"/>
  </r>
  <r>
    <s v="MEIL_P304"/>
    <x v="3"/>
    <x v="5"/>
    <x v="2"/>
    <n v="36"/>
    <n v="34"/>
    <x v="16"/>
    <x v="3"/>
    <s v="Loss"/>
  </r>
  <r>
    <s v="MEIL_P304"/>
    <x v="3"/>
    <x v="6"/>
    <x v="2"/>
    <n v="38"/>
    <n v="41"/>
    <x v="17"/>
    <x v="3"/>
    <s v="Profit"/>
  </r>
  <r>
    <s v="MEIL_P304"/>
    <x v="3"/>
    <x v="7"/>
    <x v="2"/>
    <n v="40"/>
    <n v="43"/>
    <x v="12"/>
    <x v="3"/>
    <s v="Profit"/>
  </r>
  <r>
    <s v="MEIL_P304"/>
    <x v="3"/>
    <x v="8"/>
    <x v="2"/>
    <n v="42"/>
    <n v="45"/>
    <x v="13"/>
    <x v="3"/>
    <s v="Profit"/>
  </r>
  <r>
    <s v="MEIL_P305"/>
    <x v="4"/>
    <x v="5"/>
    <x v="3"/>
    <n v="9"/>
    <n v="11"/>
    <x v="21"/>
    <x v="4"/>
    <s v="Profit"/>
  </r>
  <r>
    <s v="MEIL_P305"/>
    <x v="4"/>
    <x v="6"/>
    <x v="3"/>
    <n v="10"/>
    <n v="12"/>
    <x v="22"/>
    <x v="4"/>
    <s v="Profit"/>
  </r>
  <r>
    <s v="MEIL_P305"/>
    <x v="4"/>
    <x v="7"/>
    <x v="3"/>
    <n v="11"/>
    <n v="13"/>
    <x v="23"/>
    <x v="4"/>
    <s v="Profit"/>
  </r>
  <r>
    <s v="MEIL_P305"/>
    <x v="4"/>
    <x v="8"/>
    <x v="3"/>
    <n v="12"/>
    <n v="11"/>
    <x v="24"/>
    <x v="4"/>
    <s v="Loss"/>
  </r>
  <r>
    <s v="MEIL_P306"/>
    <x v="5"/>
    <x v="2"/>
    <x v="3"/>
    <n v="14"/>
    <n v="16"/>
    <x v="25"/>
    <x v="5"/>
    <s v="Profit"/>
  </r>
  <r>
    <s v="MEIL_P306"/>
    <x v="5"/>
    <x v="3"/>
    <x v="3"/>
    <n v="15"/>
    <n v="18"/>
    <x v="26"/>
    <x v="5"/>
    <s v="Profit"/>
  </r>
  <r>
    <s v="MEIL_P306"/>
    <x v="5"/>
    <x v="4"/>
    <x v="3"/>
    <n v="16"/>
    <n v="19"/>
    <x v="27"/>
    <x v="5"/>
    <s v="Profit"/>
  </r>
  <r>
    <s v="MEIL_P306"/>
    <x v="5"/>
    <x v="5"/>
    <x v="3"/>
    <n v="17"/>
    <n v="21"/>
    <x v="28"/>
    <x v="5"/>
    <s v="Profit"/>
  </r>
  <r>
    <s v="MEIL_P306"/>
    <x v="5"/>
    <x v="6"/>
    <x v="3"/>
    <n v="18"/>
    <n v="17"/>
    <x v="29"/>
    <x v="5"/>
    <s v="Loss"/>
  </r>
  <r>
    <s v="MEIL_P307"/>
    <x v="6"/>
    <x v="8"/>
    <x v="4"/>
    <n v="14"/>
    <n v="16"/>
    <x v="24"/>
    <x v="6"/>
    <s v="Profit"/>
  </r>
  <r>
    <s v="MEIL_P307"/>
    <x v="6"/>
    <x v="9"/>
    <x v="4"/>
    <n v="15"/>
    <n v="18"/>
    <x v="30"/>
    <x v="6"/>
    <s v="Profit"/>
  </r>
  <r>
    <s v="MEIL_P307"/>
    <x v="6"/>
    <x v="10"/>
    <x v="4"/>
    <n v="16"/>
    <n v="19"/>
    <x v="31"/>
    <x v="6"/>
    <s v="Profit"/>
  </r>
  <r>
    <s v="MEIL_P308"/>
    <x v="7"/>
    <x v="9"/>
    <x v="2"/>
    <n v="6"/>
    <n v="8"/>
    <x v="32"/>
    <x v="7"/>
    <s v="Profit"/>
  </r>
  <r>
    <s v="MEIL_P308"/>
    <x v="7"/>
    <x v="10"/>
    <x v="2"/>
    <n v="7"/>
    <n v="9"/>
    <x v="33"/>
    <x v="7"/>
    <s v="Profit"/>
  </r>
  <r>
    <s v="MEIL_P308"/>
    <x v="7"/>
    <x v="11"/>
    <x v="2"/>
    <n v="8"/>
    <n v="10"/>
    <x v="34"/>
    <x v="7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93A3E-5E89-461B-9B01-2187B4E9F3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I21" firstHeaderRow="0" firstDataRow="1" firstDataCol="1"/>
  <pivotFields count="11">
    <pivotField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Expense Cr" fld="4" baseField="0" baseItem="0"/>
    <dataField name="Sum of Revenue Cr" fld="5" baseField="0" baseItem="0"/>
    <dataField name="Sum of Manpower C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CE6C2-3E7A-4B6B-9B48-2A000130886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D28" firstHeaderRow="0" firstDataRow="1" firstDataCol="1"/>
  <pivotFields count="11">
    <pivotField showAll="0"/>
    <pivotField showAll="0">
      <items count="9">
        <item x="5"/>
        <item x="0"/>
        <item x="1"/>
        <item x="6"/>
        <item x="3"/>
        <item x="4"/>
        <item x="7"/>
        <item x="2"/>
        <item t="default"/>
      </items>
    </pivotField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dataField="1" showAll="0"/>
    <pivotField showAll="0">
      <items count="9">
        <item x="0"/>
        <item x="2"/>
        <item x="1"/>
        <item x="5"/>
        <item x="6"/>
        <item x="4"/>
        <item x="7"/>
        <item x="3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Expense Cr" fld="4" baseField="0" baseItem="0"/>
    <dataField name="Sum of Revenue Cr" fld="5" baseField="0" baseItem="0"/>
    <dataField name="Sum of Manpower Count" fld="6" baseField="0" baseItem="0"/>
  </dataFields>
  <formats count="1">
    <format dxfId="0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B7497-0B38-4F0C-AF6C-00B7453BAB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0" firstDataRow="1" firstDataCol="1"/>
  <pivotFields count="11">
    <pivotField showAll="0"/>
    <pivotField axis="axisRow" showAll="0">
      <items count="9">
        <item x="5"/>
        <item x="0"/>
        <item x="1"/>
        <item x="6"/>
        <item x="3"/>
        <item x="4"/>
        <item x="7"/>
        <item x="2"/>
        <item t="default"/>
      </items>
    </pivotField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dataField="1" showAll="0">
      <items count="36">
        <item x="32"/>
        <item x="33"/>
        <item x="34"/>
        <item x="21"/>
        <item x="22"/>
        <item x="23"/>
        <item x="24"/>
        <item x="30"/>
        <item x="31"/>
        <item x="25"/>
        <item x="26"/>
        <item x="27"/>
        <item x="28"/>
        <item x="29"/>
        <item x="18"/>
        <item x="19"/>
        <item x="20"/>
        <item x="15"/>
        <item x="16"/>
        <item x="17"/>
        <item x="12"/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Expense Cr" fld="4" baseField="0" baseItem="0"/>
    <dataField name="Sum of Revenue Cr" fld="5" baseField="0" baseItem="0"/>
    <dataField name="Sum of Manpower C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D3A89-0165-47EB-A27D-F00725E254A5}" name="Table1" displayName="Table1" ref="A1:I55" totalsRowShown="0" headerRowDxfId="2">
  <autoFilter ref="A1:I55" xr:uid="{491D3A89-0165-47EB-A27D-F00725E254A5}"/>
  <tableColumns count="9">
    <tableColumn id="1" xr3:uid="{63B3BCF4-917E-4BD0-B30F-EF6676236E11}" name="Project ID"/>
    <tableColumn id="2" xr3:uid="{1D3C2F98-BFAD-4C37-BB04-73A8EBC64F40}" name="Project Name"/>
    <tableColumn id="3" xr3:uid="{0689B0D1-86E6-4064-9269-C3F8DF8B3C30}" name="Month" dataDxfId="1"/>
    <tableColumn id="4" xr3:uid="{68D7F33D-A7BE-4195-BF39-E0DC2DC8F3BB}" name="Department"/>
    <tableColumn id="5" xr3:uid="{06283C3E-D6EB-4D78-AB46-53683A04B098}" name="Total Expense Cr"/>
    <tableColumn id="6" xr3:uid="{9E63C0B8-7D11-436E-AE87-5DD14BD5EDAB}" name="Revenue Cr"/>
    <tableColumn id="7" xr3:uid="{8A00251E-0DC1-4A19-BA06-AC79BC08044D}" name="Manpower Count"/>
    <tableColumn id="8" xr3:uid="{18C71C31-099F-4020-8898-B503BEFA0B21}" name="Project Manager Details"/>
    <tableColumn id="9" xr3:uid="{162D5EB0-8936-4B82-92CE-2856A3240084}" name="Status">
      <calculatedColumnFormula array="1">_xlfn.IFS((F2-E2)&gt;0,"Profit",(F2-E2)&lt;0,"Loss",(F2-E2)=0,"Breakeven")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CA70-F9CD-46B7-8866-706C986B8E0D}">
  <dimension ref="A1:I55"/>
  <sheetViews>
    <sheetView tabSelected="1" workbookViewId="0">
      <selection activeCell="D7" sqref="D7"/>
    </sheetView>
  </sheetViews>
  <sheetFormatPr defaultRowHeight="14.4" x14ac:dyDescent="0.3"/>
  <cols>
    <col min="1" max="1" width="11.109375" customWidth="1"/>
    <col min="2" max="2" width="23.21875" bestFit="1" customWidth="1"/>
    <col min="3" max="3" width="10.33203125" bestFit="1" customWidth="1"/>
    <col min="4" max="4" width="13" customWidth="1"/>
    <col min="5" max="5" width="16.6640625" customWidth="1"/>
    <col min="6" max="6" width="12.44140625" customWidth="1"/>
    <col min="7" max="7" width="17.6640625" customWidth="1"/>
    <col min="8" max="8" width="22.88671875" customWidth="1"/>
    <col min="9" max="9" width="8.109375" customWidth="1"/>
  </cols>
  <sheetData>
    <row r="1" spans="1:9" x14ac:dyDescent="0.3">
      <c r="A1" s="2" t="s">
        <v>13</v>
      </c>
      <c r="B1" s="2" t="s">
        <v>15</v>
      </c>
      <c r="C1" s="2" t="s">
        <v>0</v>
      </c>
      <c r="D1" s="2" t="s">
        <v>1</v>
      </c>
      <c r="E1" s="2" t="s">
        <v>12</v>
      </c>
      <c r="F1" s="2" t="s">
        <v>14</v>
      </c>
      <c r="G1" s="2" t="s">
        <v>11</v>
      </c>
      <c r="H1" s="2" t="s">
        <v>10</v>
      </c>
      <c r="I1" s="2" t="s">
        <v>2</v>
      </c>
    </row>
    <row r="2" spans="1:9" x14ac:dyDescent="0.3">
      <c r="A2" t="s">
        <v>16</v>
      </c>
      <c r="B2" t="s">
        <v>17</v>
      </c>
      <c r="C2" s="1">
        <v>45292</v>
      </c>
      <c r="D2" t="s">
        <v>3</v>
      </c>
      <c r="E2">
        <v>45</v>
      </c>
      <c r="F2">
        <v>48</v>
      </c>
      <c r="G2">
        <v>480</v>
      </c>
      <c r="H2" t="s">
        <v>18</v>
      </c>
      <c r="I2" t="str" cm="1">
        <f t="array" ref="I2">_xlfn.IFS((F2-E2)&gt;0,"Profit",(F2-E2)&lt;0,"Loss",(F2-E2)=0,"Breakeven")</f>
        <v>Profit</v>
      </c>
    </row>
    <row r="3" spans="1:9" x14ac:dyDescent="0.3">
      <c r="A3" t="s">
        <v>16</v>
      </c>
      <c r="B3" t="s">
        <v>17</v>
      </c>
      <c r="C3" s="1">
        <v>45323</v>
      </c>
      <c r="D3" t="s">
        <v>3</v>
      </c>
      <c r="E3">
        <v>48</v>
      </c>
      <c r="F3">
        <v>52</v>
      </c>
      <c r="G3">
        <v>500</v>
      </c>
      <c r="H3" t="s">
        <v>18</v>
      </c>
      <c r="I3" t="str" cm="1">
        <f t="array" ref="I3">_xlfn.IFS((F3-E3)&gt;0,"Profit",(F3-E3)&lt;0,"Loss",(F3-E3)=0,"Breakeven")</f>
        <v>Profit</v>
      </c>
    </row>
    <row r="4" spans="1:9" x14ac:dyDescent="0.3">
      <c r="A4" t="s">
        <v>16</v>
      </c>
      <c r="B4" t="s">
        <v>17</v>
      </c>
      <c r="C4" s="1">
        <v>45352</v>
      </c>
      <c r="D4" t="s">
        <v>3</v>
      </c>
      <c r="E4">
        <v>50</v>
      </c>
      <c r="F4">
        <v>54</v>
      </c>
      <c r="G4">
        <v>520</v>
      </c>
      <c r="H4" t="s">
        <v>18</v>
      </c>
      <c r="I4" t="str" cm="1">
        <f t="array" ref="I4">_xlfn.IFS((F4-E4)&gt;0,"Profit",(F4-E4)&lt;0,"Loss",(F4-E4)=0,"Breakeven")</f>
        <v>Profit</v>
      </c>
    </row>
    <row r="5" spans="1:9" x14ac:dyDescent="0.3">
      <c r="A5" t="s">
        <v>16</v>
      </c>
      <c r="B5" t="s">
        <v>17</v>
      </c>
      <c r="C5" s="1">
        <v>45383</v>
      </c>
      <c r="D5" t="s">
        <v>3</v>
      </c>
      <c r="E5">
        <v>52</v>
      </c>
      <c r="F5">
        <v>50</v>
      </c>
      <c r="G5">
        <v>540</v>
      </c>
      <c r="H5" t="s">
        <v>18</v>
      </c>
      <c r="I5" t="str" cm="1">
        <f t="array" ref="I5">_xlfn.IFS((F5-E5)&gt;0,"Profit",(F5-E5)&lt;0,"Loss",(F5-E5)=0,"Breakeven")</f>
        <v>Loss</v>
      </c>
    </row>
    <row r="6" spans="1:9" x14ac:dyDescent="0.3">
      <c r="A6" t="s">
        <v>16</v>
      </c>
      <c r="B6" t="s">
        <v>17</v>
      </c>
      <c r="C6" s="1">
        <v>45413</v>
      </c>
      <c r="D6" t="s">
        <v>3</v>
      </c>
      <c r="E6">
        <v>55</v>
      </c>
      <c r="F6">
        <v>60</v>
      </c>
      <c r="G6">
        <v>560</v>
      </c>
      <c r="H6" t="s">
        <v>18</v>
      </c>
      <c r="I6" t="str" cm="1">
        <f t="array" ref="I6">_xlfn.IFS((F6-E6)&gt;0,"Profit",(F6-E6)&lt;0,"Loss",(F6-E6)=0,"Breakeven")</f>
        <v>Profit</v>
      </c>
    </row>
    <row r="7" spans="1:9" x14ac:dyDescent="0.3">
      <c r="A7" t="s">
        <v>16</v>
      </c>
      <c r="B7" t="s">
        <v>17</v>
      </c>
      <c r="C7" s="1">
        <v>45444</v>
      </c>
      <c r="D7" t="s">
        <v>3</v>
      </c>
      <c r="E7">
        <v>58</v>
      </c>
      <c r="F7">
        <v>63</v>
      </c>
      <c r="G7">
        <v>580</v>
      </c>
      <c r="H7" t="s">
        <v>18</v>
      </c>
      <c r="I7" t="str" cm="1">
        <f t="array" ref="I7">_xlfn.IFS((F7-E7)&gt;0,"Profit",(F7-E7)&lt;0,"Loss",(F7-E7)=0,"Breakeven")</f>
        <v>Profit</v>
      </c>
    </row>
    <row r="8" spans="1:9" x14ac:dyDescent="0.3">
      <c r="A8" t="s">
        <v>16</v>
      </c>
      <c r="B8" t="s">
        <v>17</v>
      </c>
      <c r="C8" s="1">
        <v>45474</v>
      </c>
      <c r="D8" t="s">
        <v>3</v>
      </c>
      <c r="E8">
        <v>60</v>
      </c>
      <c r="F8">
        <v>65</v>
      </c>
      <c r="G8">
        <v>600</v>
      </c>
      <c r="H8" t="s">
        <v>18</v>
      </c>
      <c r="I8" t="str" cm="1">
        <f t="array" ref="I8">_xlfn.IFS((F8-E8)&gt;0,"Profit",(F8-E8)&lt;0,"Loss",(F8-E8)=0,"Breakeven")</f>
        <v>Profit</v>
      </c>
    </row>
    <row r="9" spans="1:9" x14ac:dyDescent="0.3">
      <c r="A9" t="s">
        <v>16</v>
      </c>
      <c r="B9" t="s">
        <v>17</v>
      </c>
      <c r="C9" s="1">
        <v>45505</v>
      </c>
      <c r="D9" t="s">
        <v>3</v>
      </c>
      <c r="E9">
        <v>62</v>
      </c>
      <c r="F9">
        <v>68</v>
      </c>
      <c r="G9">
        <v>620</v>
      </c>
      <c r="H9" t="s">
        <v>18</v>
      </c>
      <c r="I9" t="str" cm="1">
        <f t="array" ref="I9">_xlfn.IFS((F9-E9)&gt;0,"Profit",(F9-E9)&lt;0,"Loss",(F9-E9)=0,"Breakeven")</f>
        <v>Profit</v>
      </c>
    </row>
    <row r="10" spans="1:9" x14ac:dyDescent="0.3">
      <c r="A10" t="s">
        <v>16</v>
      </c>
      <c r="B10" t="s">
        <v>17</v>
      </c>
      <c r="C10" s="1">
        <v>45536</v>
      </c>
      <c r="D10" t="s">
        <v>3</v>
      </c>
      <c r="E10">
        <v>65</v>
      </c>
      <c r="F10">
        <v>70</v>
      </c>
      <c r="G10">
        <v>640</v>
      </c>
      <c r="H10" t="s">
        <v>18</v>
      </c>
      <c r="I10" t="str" cm="1">
        <f t="array" ref="I10">_xlfn.IFS((F10-E10)&gt;0,"Profit",(F10-E10)&lt;0,"Loss",(F10-E10)=0,"Breakeven")</f>
        <v>Profit</v>
      </c>
    </row>
    <row r="11" spans="1:9" x14ac:dyDescent="0.3">
      <c r="A11" t="s">
        <v>16</v>
      </c>
      <c r="B11" t="s">
        <v>17</v>
      </c>
      <c r="C11" s="1">
        <v>45566</v>
      </c>
      <c r="D11" t="s">
        <v>3</v>
      </c>
      <c r="E11">
        <v>68</v>
      </c>
      <c r="F11">
        <v>66</v>
      </c>
      <c r="G11">
        <v>660</v>
      </c>
      <c r="H11" t="s">
        <v>18</v>
      </c>
      <c r="I11" t="str" cm="1">
        <f t="array" ref="I11">_xlfn.IFS((F11-E11)&gt;0,"Profit",(F11-E11)&lt;0,"Loss",(F11-E11)=0,"Breakeven")</f>
        <v>Loss</v>
      </c>
    </row>
    <row r="12" spans="1:9" x14ac:dyDescent="0.3">
      <c r="A12" t="s">
        <v>16</v>
      </c>
      <c r="B12" t="s">
        <v>17</v>
      </c>
      <c r="C12" s="1">
        <v>45597</v>
      </c>
      <c r="D12" t="s">
        <v>3</v>
      </c>
      <c r="E12">
        <v>70</v>
      </c>
      <c r="F12">
        <v>75</v>
      </c>
      <c r="G12">
        <v>680</v>
      </c>
      <c r="H12" t="s">
        <v>18</v>
      </c>
      <c r="I12" t="str" cm="1">
        <f t="array" ref="I12">_xlfn.IFS((F12-E12)&gt;0,"Profit",(F12-E12)&lt;0,"Loss",(F12-E12)=0,"Breakeven")</f>
        <v>Profit</v>
      </c>
    </row>
    <row r="13" spans="1:9" x14ac:dyDescent="0.3">
      <c r="A13" t="s">
        <v>16</v>
      </c>
      <c r="B13" t="s">
        <v>17</v>
      </c>
      <c r="C13" s="1">
        <v>45627</v>
      </c>
      <c r="D13" t="s">
        <v>3</v>
      </c>
      <c r="E13">
        <v>72</v>
      </c>
      <c r="F13">
        <v>78</v>
      </c>
      <c r="G13">
        <v>700</v>
      </c>
      <c r="H13" t="s">
        <v>18</v>
      </c>
      <c r="I13" t="str" cm="1">
        <f t="array" ref="I13">_xlfn.IFS((F13-E13)&gt;0,"Profit",(F13-E13)&lt;0,"Loss",(F13-E13)=0,"Breakeven")</f>
        <v>Profit</v>
      </c>
    </row>
    <row r="14" spans="1:9" x14ac:dyDescent="0.3">
      <c r="A14" t="s">
        <v>19</v>
      </c>
      <c r="B14" t="s">
        <v>20</v>
      </c>
      <c r="C14" s="1">
        <v>45352</v>
      </c>
      <c r="D14" t="s">
        <v>3</v>
      </c>
      <c r="E14">
        <v>38</v>
      </c>
      <c r="F14">
        <v>42</v>
      </c>
      <c r="G14">
        <v>420</v>
      </c>
      <c r="H14" t="s">
        <v>21</v>
      </c>
      <c r="I14" t="str" cm="1">
        <f t="array" ref="I14">_xlfn.IFS((F14-E14)&gt;0,"Profit",(F14-E14)&lt;0,"Loss",(F14-E14)=0,"Breakeven")</f>
        <v>Profit</v>
      </c>
    </row>
    <row r="15" spans="1:9" x14ac:dyDescent="0.3">
      <c r="A15" t="s">
        <v>19</v>
      </c>
      <c r="B15" t="s">
        <v>20</v>
      </c>
      <c r="C15" s="1">
        <v>45383</v>
      </c>
      <c r="D15" t="s">
        <v>3</v>
      </c>
      <c r="E15">
        <v>40</v>
      </c>
      <c r="F15">
        <v>44</v>
      </c>
      <c r="G15">
        <v>440</v>
      </c>
      <c r="H15" t="s">
        <v>21</v>
      </c>
      <c r="I15" t="str" cm="1">
        <f t="array" ref="I15">_xlfn.IFS((F15-E15)&gt;0,"Profit",(F15-E15)&lt;0,"Loss",(F15-E15)=0,"Breakeven")</f>
        <v>Profit</v>
      </c>
    </row>
    <row r="16" spans="1:9" x14ac:dyDescent="0.3">
      <c r="A16" t="s">
        <v>19</v>
      </c>
      <c r="B16" t="s">
        <v>20</v>
      </c>
      <c r="C16" s="1">
        <v>45413</v>
      </c>
      <c r="D16" t="s">
        <v>3</v>
      </c>
      <c r="E16">
        <v>42</v>
      </c>
      <c r="F16">
        <v>46</v>
      </c>
      <c r="G16">
        <v>460</v>
      </c>
      <c r="H16" t="s">
        <v>21</v>
      </c>
      <c r="I16" t="str" cm="1">
        <f t="array" ref="I16">_xlfn.IFS((F16-E16)&gt;0,"Profit",(F16-E16)&lt;0,"Loss",(F16-E16)=0,"Breakeven")</f>
        <v>Profit</v>
      </c>
    </row>
    <row r="17" spans="1:9" x14ac:dyDescent="0.3">
      <c r="A17" t="s">
        <v>19</v>
      </c>
      <c r="B17" t="s">
        <v>20</v>
      </c>
      <c r="C17" s="1">
        <v>45444</v>
      </c>
      <c r="D17" t="s">
        <v>3</v>
      </c>
      <c r="E17">
        <v>44</v>
      </c>
      <c r="F17">
        <v>43</v>
      </c>
      <c r="G17">
        <v>480</v>
      </c>
      <c r="H17" t="s">
        <v>21</v>
      </c>
      <c r="I17" t="str" cm="1">
        <f t="array" ref="I17">_xlfn.IFS((F17-E17)&gt;0,"Profit",(F17-E17)&lt;0,"Loss",(F17-E17)=0,"Breakeven")</f>
        <v>Loss</v>
      </c>
    </row>
    <row r="18" spans="1:9" x14ac:dyDescent="0.3">
      <c r="A18" t="s">
        <v>19</v>
      </c>
      <c r="B18" t="s">
        <v>20</v>
      </c>
      <c r="C18" s="1">
        <v>45474</v>
      </c>
      <c r="D18" t="s">
        <v>3</v>
      </c>
      <c r="E18">
        <v>46</v>
      </c>
      <c r="F18">
        <v>50</v>
      </c>
      <c r="G18">
        <v>500</v>
      </c>
      <c r="H18" t="s">
        <v>21</v>
      </c>
      <c r="I18" t="str" cm="1">
        <f t="array" ref="I18">_xlfn.IFS((F18-E18)&gt;0,"Profit",(F18-E18)&lt;0,"Loss",(F18-E18)=0,"Breakeven")</f>
        <v>Profit</v>
      </c>
    </row>
    <row r="19" spans="1:9" x14ac:dyDescent="0.3">
      <c r="A19" t="s">
        <v>19</v>
      </c>
      <c r="B19" t="s">
        <v>20</v>
      </c>
      <c r="C19" s="1">
        <v>45505</v>
      </c>
      <c r="D19" t="s">
        <v>3</v>
      </c>
      <c r="E19">
        <v>48</v>
      </c>
      <c r="F19">
        <v>52</v>
      </c>
      <c r="G19">
        <v>520</v>
      </c>
      <c r="H19" t="s">
        <v>21</v>
      </c>
      <c r="I19" t="str" cm="1">
        <f t="array" ref="I19">_xlfn.IFS((F19-E19)&gt;0,"Profit",(F19-E19)&lt;0,"Loss",(F19-E19)=0,"Breakeven")</f>
        <v>Profit</v>
      </c>
    </row>
    <row r="20" spans="1:9" x14ac:dyDescent="0.3">
      <c r="A20" t="s">
        <v>19</v>
      </c>
      <c r="B20" t="s">
        <v>20</v>
      </c>
      <c r="C20" s="1">
        <v>45536</v>
      </c>
      <c r="D20" t="s">
        <v>3</v>
      </c>
      <c r="E20">
        <v>50</v>
      </c>
      <c r="F20">
        <v>55</v>
      </c>
      <c r="G20">
        <v>540</v>
      </c>
      <c r="H20" t="s">
        <v>21</v>
      </c>
      <c r="I20" t="str" cm="1">
        <f t="array" ref="I20">_xlfn.IFS((F20-E20)&gt;0,"Profit",(F20-E20)&lt;0,"Loss",(F20-E20)=0,"Breakeven")</f>
        <v>Profit</v>
      </c>
    </row>
    <row r="21" spans="1:9" x14ac:dyDescent="0.3">
      <c r="A21" t="s">
        <v>19</v>
      </c>
      <c r="B21" t="s">
        <v>20</v>
      </c>
      <c r="C21" s="1">
        <v>45566</v>
      </c>
      <c r="D21" t="s">
        <v>3</v>
      </c>
      <c r="E21">
        <v>52</v>
      </c>
      <c r="F21">
        <v>57</v>
      </c>
      <c r="G21">
        <v>560</v>
      </c>
      <c r="H21" t="s">
        <v>21</v>
      </c>
      <c r="I21" t="str" cm="1">
        <f t="array" ref="I21">_xlfn.IFS((F21-E21)&gt;0,"Profit",(F21-E21)&lt;0,"Loss",(F21-E21)=0,"Breakeven")</f>
        <v>Profit</v>
      </c>
    </row>
    <row r="22" spans="1:9" x14ac:dyDescent="0.3">
      <c r="A22" t="s">
        <v>19</v>
      </c>
      <c r="B22" t="s">
        <v>20</v>
      </c>
      <c r="C22" s="1">
        <v>45597</v>
      </c>
      <c r="D22" t="s">
        <v>3</v>
      </c>
      <c r="E22">
        <v>54</v>
      </c>
      <c r="F22">
        <v>60</v>
      </c>
      <c r="G22">
        <v>580</v>
      </c>
      <c r="H22" t="s">
        <v>21</v>
      </c>
      <c r="I22" t="str" cm="1">
        <f t="array" ref="I22">_xlfn.IFS((F22-E22)&gt;0,"Profit",(F22-E22)&lt;0,"Loss",(F22-E22)=0,"Breakeven")</f>
        <v>Profit</v>
      </c>
    </row>
    <row r="23" spans="1:9" x14ac:dyDescent="0.3">
      <c r="A23" t="s">
        <v>22</v>
      </c>
      <c r="B23" t="s">
        <v>23</v>
      </c>
      <c r="C23" s="1">
        <v>45292</v>
      </c>
      <c r="D23" t="s">
        <v>6</v>
      </c>
      <c r="E23">
        <v>32</v>
      </c>
      <c r="F23">
        <v>35</v>
      </c>
      <c r="G23">
        <v>360</v>
      </c>
      <c r="H23" t="s">
        <v>24</v>
      </c>
      <c r="I23" t="str" cm="1">
        <f t="array" ref="I23">_xlfn.IFS((F23-E23)&gt;0,"Profit",(F23-E23)&lt;0,"Loss",(F23-E23)=0,"Breakeven")</f>
        <v>Profit</v>
      </c>
    </row>
    <row r="24" spans="1:9" x14ac:dyDescent="0.3">
      <c r="A24" t="s">
        <v>22</v>
      </c>
      <c r="B24" t="s">
        <v>23</v>
      </c>
      <c r="C24" s="1">
        <v>45323</v>
      </c>
      <c r="D24" t="s">
        <v>6</v>
      </c>
      <c r="E24">
        <v>34</v>
      </c>
      <c r="F24">
        <v>38</v>
      </c>
      <c r="G24">
        <v>380</v>
      </c>
      <c r="H24" t="s">
        <v>24</v>
      </c>
      <c r="I24" t="str" cm="1">
        <f t="array" ref="I24">_xlfn.IFS((F24-E24)&gt;0,"Profit",(F24-E24)&lt;0,"Loss",(F24-E24)=0,"Breakeven")</f>
        <v>Profit</v>
      </c>
    </row>
    <row r="25" spans="1:9" x14ac:dyDescent="0.3">
      <c r="A25" t="s">
        <v>22</v>
      </c>
      <c r="B25" t="s">
        <v>23</v>
      </c>
      <c r="C25" s="1">
        <v>45352</v>
      </c>
      <c r="D25" t="s">
        <v>6</v>
      </c>
      <c r="E25">
        <v>36</v>
      </c>
      <c r="F25">
        <v>34</v>
      </c>
      <c r="G25">
        <v>400</v>
      </c>
      <c r="H25" t="s">
        <v>24</v>
      </c>
      <c r="I25" t="str" cm="1">
        <f t="array" ref="I25">_xlfn.IFS((F25-E25)&gt;0,"Profit",(F25-E25)&lt;0,"Loss",(F25-E25)=0,"Breakeven")</f>
        <v>Loss</v>
      </c>
    </row>
    <row r="26" spans="1:9" x14ac:dyDescent="0.3">
      <c r="A26" t="s">
        <v>22</v>
      </c>
      <c r="B26" t="s">
        <v>23</v>
      </c>
      <c r="C26" s="1">
        <v>45383</v>
      </c>
      <c r="D26" t="s">
        <v>6</v>
      </c>
      <c r="E26">
        <v>38</v>
      </c>
      <c r="F26">
        <v>42</v>
      </c>
      <c r="G26">
        <v>420</v>
      </c>
      <c r="H26" t="s">
        <v>24</v>
      </c>
      <c r="I26" t="str" cm="1">
        <f t="array" ref="I26">_xlfn.IFS((F26-E26)&gt;0,"Profit",(F26-E26)&lt;0,"Loss",(F26-E26)=0,"Breakeven")</f>
        <v>Profit</v>
      </c>
    </row>
    <row r="27" spans="1:9" x14ac:dyDescent="0.3">
      <c r="A27" t="s">
        <v>22</v>
      </c>
      <c r="B27" t="s">
        <v>23</v>
      </c>
      <c r="C27" s="1">
        <v>45413</v>
      </c>
      <c r="D27" t="s">
        <v>6</v>
      </c>
      <c r="E27">
        <v>40</v>
      </c>
      <c r="F27">
        <v>45</v>
      </c>
      <c r="G27">
        <v>440</v>
      </c>
      <c r="H27" t="s">
        <v>24</v>
      </c>
      <c r="I27" t="str" cm="1">
        <f t="array" ref="I27">_xlfn.IFS((F27-E27)&gt;0,"Profit",(F27-E27)&lt;0,"Loss",(F27-E27)=0,"Breakeven")</f>
        <v>Profit</v>
      </c>
    </row>
    <row r="28" spans="1:9" x14ac:dyDescent="0.3">
      <c r="A28" t="s">
        <v>22</v>
      </c>
      <c r="B28" t="s">
        <v>23</v>
      </c>
      <c r="C28" s="1">
        <v>45444</v>
      </c>
      <c r="D28" t="s">
        <v>6</v>
      </c>
      <c r="E28">
        <v>42</v>
      </c>
      <c r="F28">
        <v>47</v>
      </c>
      <c r="G28">
        <v>460</v>
      </c>
      <c r="H28" t="s">
        <v>24</v>
      </c>
      <c r="I28" t="str" cm="1">
        <f t="array" ref="I28">_xlfn.IFS((F28-E28)&gt;0,"Profit",(F28-E28)&lt;0,"Loss",(F28-E28)=0,"Breakeven")</f>
        <v>Profit</v>
      </c>
    </row>
    <row r="29" spans="1:9" x14ac:dyDescent="0.3">
      <c r="A29" t="s">
        <v>22</v>
      </c>
      <c r="B29" t="s">
        <v>23</v>
      </c>
      <c r="C29" s="1">
        <v>45474</v>
      </c>
      <c r="D29" t="s">
        <v>6</v>
      </c>
      <c r="E29">
        <v>44</v>
      </c>
      <c r="F29">
        <v>50</v>
      </c>
      <c r="G29">
        <v>480</v>
      </c>
      <c r="H29" t="s">
        <v>24</v>
      </c>
      <c r="I29" t="str" cm="1">
        <f t="array" ref="I29">_xlfn.IFS((F29-E29)&gt;0,"Profit",(F29-E29)&lt;0,"Loss",(F29-E29)=0,"Breakeven")</f>
        <v>Profit</v>
      </c>
    </row>
    <row r="30" spans="1:9" x14ac:dyDescent="0.3">
      <c r="A30" t="s">
        <v>22</v>
      </c>
      <c r="B30" t="s">
        <v>23</v>
      </c>
      <c r="C30" s="1">
        <v>45505</v>
      </c>
      <c r="D30" t="s">
        <v>6</v>
      </c>
      <c r="E30">
        <v>46</v>
      </c>
      <c r="F30">
        <v>52</v>
      </c>
      <c r="G30">
        <v>500</v>
      </c>
      <c r="H30" t="s">
        <v>24</v>
      </c>
      <c r="I30" t="str" cm="1">
        <f t="array" ref="I30">_xlfn.IFS((F30-E30)&gt;0,"Profit",(F30-E30)&lt;0,"Loss",(F30-E30)=0,"Breakeven")</f>
        <v>Profit</v>
      </c>
    </row>
    <row r="31" spans="1:9" x14ac:dyDescent="0.3">
      <c r="A31" t="s">
        <v>22</v>
      </c>
      <c r="B31" t="s">
        <v>23</v>
      </c>
      <c r="C31" s="1">
        <v>45536</v>
      </c>
      <c r="D31" t="s">
        <v>6</v>
      </c>
      <c r="E31">
        <v>48</v>
      </c>
      <c r="F31">
        <v>46</v>
      </c>
      <c r="G31">
        <v>520</v>
      </c>
      <c r="H31" t="s">
        <v>24</v>
      </c>
      <c r="I31" t="str" cm="1">
        <f t="array" ref="I31">_xlfn.IFS((F31-E31)&gt;0,"Profit",(F31-E31)&lt;0,"Loss",(F31-E31)=0,"Breakeven")</f>
        <v>Loss</v>
      </c>
    </row>
    <row r="32" spans="1:9" x14ac:dyDescent="0.3">
      <c r="A32" t="s">
        <v>22</v>
      </c>
      <c r="B32" t="s">
        <v>23</v>
      </c>
      <c r="C32" s="1">
        <v>45566</v>
      </c>
      <c r="D32" t="s">
        <v>6</v>
      </c>
      <c r="E32">
        <v>50</v>
      </c>
      <c r="F32">
        <v>55</v>
      </c>
      <c r="G32">
        <v>540</v>
      </c>
      <c r="H32" t="s">
        <v>24</v>
      </c>
      <c r="I32" t="str" cm="1">
        <f t="array" ref="I32">_xlfn.IFS((F32-E32)&gt;0,"Profit",(F32-E32)&lt;0,"Loss",(F32-E32)=0,"Breakeven")</f>
        <v>Profit</v>
      </c>
    </row>
    <row r="33" spans="1:9" x14ac:dyDescent="0.3">
      <c r="A33" t="s">
        <v>25</v>
      </c>
      <c r="B33" t="s">
        <v>26</v>
      </c>
      <c r="C33" s="1">
        <v>45323</v>
      </c>
      <c r="D33" t="s">
        <v>9</v>
      </c>
      <c r="E33">
        <v>28</v>
      </c>
      <c r="F33">
        <v>30</v>
      </c>
      <c r="G33">
        <v>300</v>
      </c>
      <c r="H33" t="s">
        <v>27</v>
      </c>
      <c r="I33" t="str" cm="1">
        <f t="array" ref="I33">_xlfn.IFS((F33-E33)&gt;0,"Profit",(F33-E33)&lt;0,"Loss",(F33-E33)=0,"Breakeven")</f>
        <v>Profit</v>
      </c>
    </row>
    <row r="34" spans="1:9" x14ac:dyDescent="0.3">
      <c r="A34" t="s">
        <v>25</v>
      </c>
      <c r="B34" t="s">
        <v>26</v>
      </c>
      <c r="C34" s="1">
        <v>45352</v>
      </c>
      <c r="D34" t="s">
        <v>9</v>
      </c>
      <c r="E34">
        <v>30</v>
      </c>
      <c r="F34">
        <v>33</v>
      </c>
      <c r="G34">
        <v>320</v>
      </c>
      <c r="H34" t="s">
        <v>27</v>
      </c>
      <c r="I34" t="str" cm="1">
        <f t="array" ref="I34">_xlfn.IFS((F34-E34)&gt;0,"Profit",(F34-E34)&lt;0,"Loss",(F34-E34)=0,"Breakeven")</f>
        <v>Profit</v>
      </c>
    </row>
    <row r="35" spans="1:9" x14ac:dyDescent="0.3">
      <c r="A35" t="s">
        <v>25</v>
      </c>
      <c r="B35" t="s">
        <v>26</v>
      </c>
      <c r="C35" s="1">
        <v>45383</v>
      </c>
      <c r="D35" t="s">
        <v>9</v>
      </c>
      <c r="E35">
        <v>32</v>
      </c>
      <c r="F35">
        <v>35</v>
      </c>
      <c r="G35">
        <v>340</v>
      </c>
      <c r="H35" t="s">
        <v>27</v>
      </c>
      <c r="I35" t="str" cm="1">
        <f t="array" ref="I35">_xlfn.IFS((F35-E35)&gt;0,"Profit",(F35-E35)&lt;0,"Loss",(F35-E35)=0,"Breakeven")</f>
        <v>Profit</v>
      </c>
    </row>
    <row r="36" spans="1:9" x14ac:dyDescent="0.3">
      <c r="A36" t="s">
        <v>25</v>
      </c>
      <c r="B36" t="s">
        <v>26</v>
      </c>
      <c r="C36" s="1">
        <v>45413</v>
      </c>
      <c r="D36" t="s">
        <v>9</v>
      </c>
      <c r="E36">
        <v>34</v>
      </c>
      <c r="F36">
        <v>37</v>
      </c>
      <c r="G36">
        <v>360</v>
      </c>
      <c r="H36" t="s">
        <v>27</v>
      </c>
      <c r="I36" t="str" cm="1">
        <f t="array" ref="I36">_xlfn.IFS((F36-E36)&gt;0,"Profit",(F36-E36)&lt;0,"Loss",(F36-E36)=0,"Breakeven")</f>
        <v>Profit</v>
      </c>
    </row>
    <row r="37" spans="1:9" x14ac:dyDescent="0.3">
      <c r="A37" t="s">
        <v>25</v>
      </c>
      <c r="B37" t="s">
        <v>26</v>
      </c>
      <c r="C37" s="1">
        <v>45444</v>
      </c>
      <c r="D37" t="s">
        <v>9</v>
      </c>
      <c r="E37">
        <v>36</v>
      </c>
      <c r="F37">
        <v>34</v>
      </c>
      <c r="G37">
        <v>380</v>
      </c>
      <c r="H37" t="s">
        <v>27</v>
      </c>
      <c r="I37" t="str" cm="1">
        <f t="array" ref="I37">_xlfn.IFS((F37-E37)&gt;0,"Profit",(F37-E37)&lt;0,"Loss",(F37-E37)=0,"Breakeven")</f>
        <v>Loss</v>
      </c>
    </row>
    <row r="38" spans="1:9" x14ac:dyDescent="0.3">
      <c r="A38" t="s">
        <v>25</v>
      </c>
      <c r="B38" t="s">
        <v>26</v>
      </c>
      <c r="C38" s="1">
        <v>45474</v>
      </c>
      <c r="D38" t="s">
        <v>9</v>
      </c>
      <c r="E38">
        <v>38</v>
      </c>
      <c r="F38">
        <v>41</v>
      </c>
      <c r="G38">
        <v>400</v>
      </c>
      <c r="H38" t="s">
        <v>27</v>
      </c>
      <c r="I38" t="str" cm="1">
        <f t="array" ref="I38">_xlfn.IFS((F38-E38)&gt;0,"Profit",(F38-E38)&lt;0,"Loss",(F38-E38)=0,"Breakeven")</f>
        <v>Profit</v>
      </c>
    </row>
    <row r="39" spans="1:9" x14ac:dyDescent="0.3">
      <c r="A39" t="s">
        <v>25</v>
      </c>
      <c r="B39" t="s">
        <v>26</v>
      </c>
      <c r="C39" s="1">
        <v>45505</v>
      </c>
      <c r="D39" t="s">
        <v>9</v>
      </c>
      <c r="E39">
        <v>40</v>
      </c>
      <c r="F39">
        <v>43</v>
      </c>
      <c r="G39">
        <v>420</v>
      </c>
      <c r="H39" t="s">
        <v>27</v>
      </c>
      <c r="I39" t="str" cm="1">
        <f t="array" ref="I39">_xlfn.IFS((F39-E39)&gt;0,"Profit",(F39-E39)&lt;0,"Loss",(F39-E39)=0,"Breakeven")</f>
        <v>Profit</v>
      </c>
    </row>
    <row r="40" spans="1:9" x14ac:dyDescent="0.3">
      <c r="A40" t="s">
        <v>25</v>
      </c>
      <c r="B40" t="s">
        <v>26</v>
      </c>
      <c r="C40" s="1">
        <v>45536</v>
      </c>
      <c r="D40" t="s">
        <v>9</v>
      </c>
      <c r="E40">
        <v>42</v>
      </c>
      <c r="F40">
        <v>45</v>
      </c>
      <c r="G40">
        <v>440</v>
      </c>
      <c r="H40" t="s">
        <v>27</v>
      </c>
      <c r="I40" t="str" cm="1">
        <f t="array" ref="I40">_xlfn.IFS((F40-E40)&gt;0,"Profit",(F40-E40)&lt;0,"Loss",(F40-E40)=0,"Breakeven")</f>
        <v>Profit</v>
      </c>
    </row>
    <row r="41" spans="1:9" x14ac:dyDescent="0.3">
      <c r="A41" t="s">
        <v>28</v>
      </c>
      <c r="B41" t="s">
        <v>29</v>
      </c>
      <c r="C41" s="1">
        <v>45444</v>
      </c>
      <c r="D41" t="s">
        <v>5</v>
      </c>
      <c r="E41">
        <v>9</v>
      </c>
      <c r="F41">
        <v>11</v>
      </c>
      <c r="G41">
        <v>95</v>
      </c>
      <c r="H41" t="s">
        <v>4</v>
      </c>
      <c r="I41" t="str" cm="1">
        <f t="array" ref="I41">_xlfn.IFS((F41-E41)&gt;0,"Profit",(F41-E41)&lt;0,"Loss",(F41-E41)=0,"Breakeven")</f>
        <v>Profit</v>
      </c>
    </row>
    <row r="42" spans="1:9" x14ac:dyDescent="0.3">
      <c r="A42" t="s">
        <v>28</v>
      </c>
      <c r="B42" t="s">
        <v>29</v>
      </c>
      <c r="C42" s="1">
        <v>45474</v>
      </c>
      <c r="D42" t="s">
        <v>5</v>
      </c>
      <c r="E42">
        <v>10</v>
      </c>
      <c r="F42">
        <v>12</v>
      </c>
      <c r="G42">
        <v>100</v>
      </c>
      <c r="H42" t="s">
        <v>4</v>
      </c>
      <c r="I42" t="str" cm="1">
        <f t="array" ref="I42">_xlfn.IFS((F42-E42)&gt;0,"Profit",(F42-E42)&lt;0,"Loss",(F42-E42)=0,"Breakeven")</f>
        <v>Profit</v>
      </c>
    </row>
    <row r="43" spans="1:9" x14ac:dyDescent="0.3">
      <c r="A43" t="s">
        <v>28</v>
      </c>
      <c r="B43" t="s">
        <v>29</v>
      </c>
      <c r="C43" s="1">
        <v>45505</v>
      </c>
      <c r="D43" t="s">
        <v>5</v>
      </c>
      <c r="E43">
        <v>11</v>
      </c>
      <c r="F43">
        <v>13</v>
      </c>
      <c r="G43">
        <v>105</v>
      </c>
      <c r="H43" t="s">
        <v>4</v>
      </c>
      <c r="I43" t="str" cm="1">
        <f t="array" ref="I43">_xlfn.IFS((F43-E43)&gt;0,"Profit",(F43-E43)&lt;0,"Loss",(F43-E43)=0,"Breakeven")</f>
        <v>Profit</v>
      </c>
    </row>
    <row r="44" spans="1:9" x14ac:dyDescent="0.3">
      <c r="A44" t="s">
        <v>28</v>
      </c>
      <c r="B44" t="s">
        <v>29</v>
      </c>
      <c r="C44" s="1">
        <v>45536</v>
      </c>
      <c r="D44" t="s">
        <v>5</v>
      </c>
      <c r="E44">
        <v>12</v>
      </c>
      <c r="F44">
        <v>11</v>
      </c>
      <c r="G44">
        <v>110</v>
      </c>
      <c r="H44" t="s">
        <v>4</v>
      </c>
      <c r="I44" t="str" cm="1">
        <f t="array" ref="I44">_xlfn.IFS((F44-E44)&gt;0,"Profit",(F44-E44)&lt;0,"Loss",(F44-E44)=0,"Breakeven")</f>
        <v>Loss</v>
      </c>
    </row>
    <row r="45" spans="1:9" x14ac:dyDescent="0.3">
      <c r="A45" t="s">
        <v>30</v>
      </c>
      <c r="B45" t="s">
        <v>31</v>
      </c>
      <c r="C45" s="1">
        <v>45352</v>
      </c>
      <c r="D45" t="s">
        <v>5</v>
      </c>
      <c r="E45">
        <v>14</v>
      </c>
      <c r="F45">
        <v>16</v>
      </c>
      <c r="G45">
        <v>130</v>
      </c>
      <c r="H45" t="s">
        <v>32</v>
      </c>
      <c r="I45" t="str" cm="1">
        <f t="array" ref="I45">_xlfn.IFS((F45-E45)&gt;0,"Profit",(F45-E45)&lt;0,"Loss",(F45-E45)=0,"Breakeven")</f>
        <v>Profit</v>
      </c>
    </row>
    <row r="46" spans="1:9" x14ac:dyDescent="0.3">
      <c r="A46" t="s">
        <v>30</v>
      </c>
      <c r="B46" t="s">
        <v>31</v>
      </c>
      <c r="C46" s="1">
        <v>45383</v>
      </c>
      <c r="D46" t="s">
        <v>5</v>
      </c>
      <c r="E46">
        <v>15</v>
      </c>
      <c r="F46">
        <v>18</v>
      </c>
      <c r="G46">
        <v>135</v>
      </c>
      <c r="H46" t="s">
        <v>32</v>
      </c>
      <c r="I46" t="str" cm="1">
        <f t="array" ref="I46">_xlfn.IFS((F46-E46)&gt;0,"Profit",(F46-E46)&lt;0,"Loss",(F46-E46)=0,"Breakeven")</f>
        <v>Profit</v>
      </c>
    </row>
    <row r="47" spans="1:9" x14ac:dyDescent="0.3">
      <c r="A47" t="s">
        <v>30</v>
      </c>
      <c r="B47" t="s">
        <v>31</v>
      </c>
      <c r="C47" s="1">
        <v>45413</v>
      </c>
      <c r="D47" t="s">
        <v>5</v>
      </c>
      <c r="E47">
        <v>16</v>
      </c>
      <c r="F47">
        <v>19</v>
      </c>
      <c r="G47">
        <v>140</v>
      </c>
      <c r="H47" t="s">
        <v>32</v>
      </c>
      <c r="I47" t="str" cm="1">
        <f t="array" ref="I47">_xlfn.IFS((F47-E47)&gt;0,"Profit",(F47-E47)&lt;0,"Loss",(F47-E47)=0,"Breakeven")</f>
        <v>Profit</v>
      </c>
    </row>
    <row r="48" spans="1:9" x14ac:dyDescent="0.3">
      <c r="A48" t="s">
        <v>30</v>
      </c>
      <c r="B48" t="s">
        <v>31</v>
      </c>
      <c r="C48" s="1">
        <v>45444</v>
      </c>
      <c r="D48" t="s">
        <v>5</v>
      </c>
      <c r="E48">
        <v>17</v>
      </c>
      <c r="F48">
        <v>21</v>
      </c>
      <c r="G48">
        <v>145</v>
      </c>
      <c r="H48" t="s">
        <v>32</v>
      </c>
      <c r="I48" t="str" cm="1">
        <f t="array" ref="I48">_xlfn.IFS((F48-E48)&gt;0,"Profit",(F48-E48)&lt;0,"Loss",(F48-E48)=0,"Breakeven")</f>
        <v>Profit</v>
      </c>
    </row>
    <row r="49" spans="1:9" x14ac:dyDescent="0.3">
      <c r="A49" t="s">
        <v>30</v>
      </c>
      <c r="B49" t="s">
        <v>31</v>
      </c>
      <c r="C49" s="1">
        <v>45474</v>
      </c>
      <c r="D49" t="s">
        <v>5</v>
      </c>
      <c r="E49">
        <v>18</v>
      </c>
      <c r="F49">
        <v>17</v>
      </c>
      <c r="G49">
        <v>150</v>
      </c>
      <c r="H49" t="s">
        <v>32</v>
      </c>
      <c r="I49" t="str" cm="1">
        <f t="array" ref="I49">_xlfn.IFS((F49-E49)&gt;0,"Profit",(F49-E49)&lt;0,"Loss",(F49-E49)=0,"Breakeven")</f>
        <v>Loss</v>
      </c>
    </row>
    <row r="50" spans="1:9" x14ac:dyDescent="0.3">
      <c r="A50" t="s">
        <v>33</v>
      </c>
      <c r="B50" t="s">
        <v>34</v>
      </c>
      <c r="C50" s="1">
        <v>45536</v>
      </c>
      <c r="D50" t="s">
        <v>7</v>
      </c>
      <c r="E50">
        <v>14</v>
      </c>
      <c r="F50">
        <v>16</v>
      </c>
      <c r="G50">
        <v>110</v>
      </c>
      <c r="H50" t="s">
        <v>8</v>
      </c>
      <c r="I50" t="str" cm="1">
        <f t="array" ref="I50">_xlfn.IFS((F50-E50)&gt;0,"Profit",(F50-E50)&lt;0,"Loss",(F50-E50)=0,"Breakeven")</f>
        <v>Profit</v>
      </c>
    </row>
    <row r="51" spans="1:9" x14ac:dyDescent="0.3">
      <c r="A51" t="s">
        <v>33</v>
      </c>
      <c r="B51" t="s">
        <v>34</v>
      </c>
      <c r="C51" s="1">
        <v>45566</v>
      </c>
      <c r="D51" t="s">
        <v>7</v>
      </c>
      <c r="E51">
        <v>15</v>
      </c>
      <c r="F51">
        <v>18</v>
      </c>
      <c r="G51">
        <v>115</v>
      </c>
      <c r="H51" t="s">
        <v>8</v>
      </c>
      <c r="I51" t="str" cm="1">
        <f t="array" ref="I51">_xlfn.IFS((F51-E51)&gt;0,"Profit",(F51-E51)&lt;0,"Loss",(F51-E51)=0,"Breakeven")</f>
        <v>Profit</v>
      </c>
    </row>
    <row r="52" spans="1:9" x14ac:dyDescent="0.3">
      <c r="A52" t="s">
        <v>33</v>
      </c>
      <c r="B52" t="s">
        <v>34</v>
      </c>
      <c r="C52" s="1">
        <v>45597</v>
      </c>
      <c r="D52" t="s">
        <v>7</v>
      </c>
      <c r="E52">
        <v>16</v>
      </c>
      <c r="F52">
        <v>19</v>
      </c>
      <c r="G52">
        <v>120</v>
      </c>
      <c r="H52" t="s">
        <v>8</v>
      </c>
      <c r="I52" t="str" cm="1">
        <f t="array" ref="I52">_xlfn.IFS((F52-E52)&gt;0,"Profit",(F52-E52)&lt;0,"Loss",(F52-E52)=0,"Breakeven")</f>
        <v>Profit</v>
      </c>
    </row>
    <row r="53" spans="1:9" x14ac:dyDescent="0.3">
      <c r="A53" t="s">
        <v>35</v>
      </c>
      <c r="B53" t="s">
        <v>36</v>
      </c>
      <c r="C53" s="1">
        <v>45566</v>
      </c>
      <c r="D53" t="s">
        <v>9</v>
      </c>
      <c r="E53">
        <v>6</v>
      </c>
      <c r="F53">
        <v>8</v>
      </c>
      <c r="G53">
        <v>70</v>
      </c>
      <c r="H53" t="s">
        <v>37</v>
      </c>
      <c r="I53" t="str" cm="1">
        <f t="array" ref="I53">_xlfn.IFS((F53-E53)&gt;0,"Profit",(F53-E53)&lt;0,"Loss",(F53-E53)=0,"Breakeven")</f>
        <v>Profit</v>
      </c>
    </row>
    <row r="54" spans="1:9" x14ac:dyDescent="0.3">
      <c r="A54" t="s">
        <v>35</v>
      </c>
      <c r="B54" t="s">
        <v>36</v>
      </c>
      <c r="C54" s="1">
        <v>45597</v>
      </c>
      <c r="D54" t="s">
        <v>9</v>
      </c>
      <c r="E54">
        <v>7</v>
      </c>
      <c r="F54">
        <v>9</v>
      </c>
      <c r="G54">
        <v>72</v>
      </c>
      <c r="H54" t="s">
        <v>37</v>
      </c>
      <c r="I54" t="str" cm="1">
        <f t="array" ref="I54">_xlfn.IFS((F54-E54)&gt;0,"Profit",(F54-E54)&lt;0,"Loss",(F54-E54)=0,"Breakeven")</f>
        <v>Profit</v>
      </c>
    </row>
    <row r="55" spans="1:9" x14ac:dyDescent="0.3">
      <c r="A55" t="s">
        <v>35</v>
      </c>
      <c r="B55" t="s">
        <v>36</v>
      </c>
      <c r="C55" s="1">
        <v>45627</v>
      </c>
      <c r="D55" t="s">
        <v>9</v>
      </c>
      <c r="E55">
        <v>8</v>
      </c>
      <c r="F55">
        <v>10</v>
      </c>
      <c r="G55">
        <v>75</v>
      </c>
      <c r="H55" t="s">
        <v>37</v>
      </c>
      <c r="I55" t="str" cm="1">
        <f t="array" ref="I55">_xlfn.IFS((F55-E55)&gt;0,"Profit",(F55-E55)&lt;0,"Loss",(F55-E55)=0,"Breakeven")</f>
        <v>Profit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1BC9-9503-432D-B16D-87AB1769C403}">
  <dimension ref="A3:I28"/>
  <sheetViews>
    <sheetView workbookViewId="0">
      <selection activeCell="G5" sqref="G5"/>
    </sheetView>
  </sheetViews>
  <sheetFormatPr defaultRowHeight="14.4" x14ac:dyDescent="0.3"/>
  <cols>
    <col min="1" max="1" width="23.21875" bestFit="1" customWidth="1"/>
    <col min="2" max="2" width="21.5546875" bestFit="1" customWidth="1"/>
    <col min="3" max="3" width="17.21875" bestFit="1" customWidth="1"/>
    <col min="4" max="4" width="22.5546875" bestFit="1" customWidth="1"/>
    <col min="5" max="5" width="3" bestFit="1" customWidth="1"/>
    <col min="6" max="6" width="12.5546875" bestFit="1" customWidth="1"/>
    <col min="7" max="7" width="21.5546875" bestFit="1" customWidth="1"/>
    <col min="8" max="8" width="17.21875" bestFit="1" customWidth="1"/>
    <col min="9" max="9" width="22.5546875" bestFit="1" customWidth="1"/>
    <col min="10" max="36" width="4" bestFit="1" customWidth="1"/>
    <col min="37" max="37" width="10.77734375" bestFit="1" customWidth="1"/>
  </cols>
  <sheetData>
    <row r="3" spans="1:9" x14ac:dyDescent="0.3">
      <c r="A3" s="3" t="s">
        <v>39</v>
      </c>
      <c r="B3" t="s">
        <v>42</v>
      </c>
      <c r="C3" t="s">
        <v>41</v>
      </c>
      <c r="D3" t="s">
        <v>40</v>
      </c>
    </row>
    <row r="4" spans="1:9" x14ac:dyDescent="0.3">
      <c r="A4" s="4" t="s">
        <v>31</v>
      </c>
      <c r="B4">
        <v>80</v>
      </c>
      <c r="C4">
        <v>91</v>
      </c>
      <c r="D4">
        <v>700</v>
      </c>
    </row>
    <row r="5" spans="1:9" x14ac:dyDescent="0.3">
      <c r="A5" s="4" t="s">
        <v>17</v>
      </c>
      <c r="B5">
        <v>705</v>
      </c>
      <c r="C5">
        <v>749</v>
      </c>
      <c r="D5">
        <v>7080</v>
      </c>
    </row>
    <row r="6" spans="1:9" x14ac:dyDescent="0.3">
      <c r="A6" s="4" t="s">
        <v>20</v>
      </c>
      <c r="B6">
        <v>414</v>
      </c>
      <c r="C6">
        <v>449</v>
      </c>
      <c r="D6">
        <v>4500</v>
      </c>
    </row>
    <row r="7" spans="1:9" x14ac:dyDescent="0.3">
      <c r="A7" s="4" t="s">
        <v>34</v>
      </c>
      <c r="B7">
        <v>45</v>
      </c>
      <c r="C7">
        <v>53</v>
      </c>
      <c r="D7">
        <v>345</v>
      </c>
    </row>
    <row r="8" spans="1:9" x14ac:dyDescent="0.3">
      <c r="A8" s="4" t="s">
        <v>26</v>
      </c>
      <c r="B8">
        <v>280</v>
      </c>
      <c r="C8">
        <v>298</v>
      </c>
      <c r="D8">
        <v>2960</v>
      </c>
    </row>
    <row r="9" spans="1:9" x14ac:dyDescent="0.3">
      <c r="A9" s="4" t="s">
        <v>29</v>
      </c>
      <c r="B9">
        <v>42</v>
      </c>
      <c r="C9">
        <v>47</v>
      </c>
      <c r="D9">
        <v>410</v>
      </c>
    </row>
    <row r="10" spans="1:9" x14ac:dyDescent="0.3">
      <c r="A10" s="4" t="s">
        <v>36</v>
      </c>
      <c r="B10">
        <v>21</v>
      </c>
      <c r="C10">
        <v>27</v>
      </c>
      <c r="D10">
        <v>217</v>
      </c>
    </row>
    <row r="11" spans="1:9" x14ac:dyDescent="0.3">
      <c r="A11" s="4" t="s">
        <v>23</v>
      </c>
      <c r="B11">
        <v>410</v>
      </c>
      <c r="C11">
        <v>444</v>
      </c>
      <c r="D11">
        <v>4500</v>
      </c>
    </row>
    <row r="12" spans="1:9" x14ac:dyDescent="0.3">
      <c r="A12" s="4" t="s">
        <v>38</v>
      </c>
      <c r="B12">
        <v>1997</v>
      </c>
      <c r="C12">
        <v>2158</v>
      </c>
      <c r="D12">
        <v>20712</v>
      </c>
    </row>
    <row r="15" spans="1:9" x14ac:dyDescent="0.3">
      <c r="A15" s="3" t="s">
        <v>39</v>
      </c>
      <c r="B15" t="s">
        <v>42</v>
      </c>
      <c r="C15" t="s">
        <v>41</v>
      </c>
      <c r="D15" t="s">
        <v>40</v>
      </c>
      <c r="F15" s="3" t="s">
        <v>39</v>
      </c>
      <c r="G15" t="s">
        <v>42</v>
      </c>
      <c r="H15" t="s">
        <v>41</v>
      </c>
      <c r="I15" t="s">
        <v>40</v>
      </c>
    </row>
    <row r="16" spans="1:9" x14ac:dyDescent="0.3">
      <c r="A16" s="5" t="s">
        <v>48</v>
      </c>
      <c r="B16">
        <v>77</v>
      </c>
      <c r="C16">
        <v>83</v>
      </c>
      <c r="D16">
        <v>840</v>
      </c>
      <c r="F16" s="4" t="s">
        <v>3</v>
      </c>
      <c r="G16">
        <v>1119</v>
      </c>
      <c r="H16">
        <v>1198</v>
      </c>
      <c r="I16">
        <v>11580</v>
      </c>
    </row>
    <row r="17" spans="1:9" x14ac:dyDescent="0.3">
      <c r="A17" s="5" t="s">
        <v>49</v>
      </c>
      <c r="B17">
        <v>110</v>
      </c>
      <c r="C17">
        <v>120</v>
      </c>
      <c r="D17">
        <v>1180</v>
      </c>
      <c r="F17" s="4" t="s">
        <v>7</v>
      </c>
      <c r="G17">
        <v>45</v>
      </c>
      <c r="H17">
        <v>53</v>
      </c>
      <c r="I17">
        <v>345</v>
      </c>
    </row>
    <row r="18" spans="1:9" x14ac:dyDescent="0.3">
      <c r="A18" s="5" t="s">
        <v>43</v>
      </c>
      <c r="B18">
        <v>168</v>
      </c>
      <c r="C18">
        <v>179</v>
      </c>
      <c r="D18">
        <v>1790</v>
      </c>
      <c r="F18" s="4" t="s">
        <v>9</v>
      </c>
      <c r="G18">
        <v>301</v>
      </c>
      <c r="H18">
        <v>325</v>
      </c>
      <c r="I18">
        <v>3177</v>
      </c>
    </row>
    <row r="19" spans="1:9" x14ac:dyDescent="0.3">
      <c r="A19" s="5" t="s">
        <v>44</v>
      </c>
      <c r="B19">
        <v>177</v>
      </c>
      <c r="C19">
        <v>189</v>
      </c>
      <c r="D19">
        <v>1875</v>
      </c>
      <c r="F19" s="4" t="s">
        <v>6</v>
      </c>
      <c r="G19">
        <v>410</v>
      </c>
      <c r="H19">
        <v>444</v>
      </c>
      <c r="I19">
        <v>4500</v>
      </c>
    </row>
    <row r="20" spans="1:9" x14ac:dyDescent="0.3">
      <c r="A20" s="5" t="s">
        <v>45</v>
      </c>
      <c r="B20">
        <v>187</v>
      </c>
      <c r="C20">
        <v>207</v>
      </c>
      <c r="D20">
        <v>1960</v>
      </c>
      <c r="F20" s="4" t="s">
        <v>5</v>
      </c>
      <c r="G20">
        <v>122</v>
      </c>
      <c r="H20">
        <v>138</v>
      </c>
      <c r="I20">
        <v>1110</v>
      </c>
    </row>
    <row r="21" spans="1:9" x14ac:dyDescent="0.3">
      <c r="A21" s="5" t="s">
        <v>46</v>
      </c>
      <c r="B21">
        <v>206</v>
      </c>
      <c r="C21">
        <v>219</v>
      </c>
      <c r="D21">
        <v>2140</v>
      </c>
      <c r="F21" s="4" t="s">
        <v>38</v>
      </c>
      <c r="G21">
        <v>1997</v>
      </c>
      <c r="H21">
        <v>2158</v>
      </c>
      <c r="I21">
        <v>20712</v>
      </c>
    </row>
    <row r="22" spans="1:9" x14ac:dyDescent="0.3">
      <c r="A22" s="5" t="s">
        <v>47</v>
      </c>
      <c r="B22">
        <v>216</v>
      </c>
      <c r="C22">
        <v>235</v>
      </c>
      <c r="D22">
        <v>2230</v>
      </c>
    </row>
    <row r="23" spans="1:9" x14ac:dyDescent="0.3">
      <c r="A23" s="5" t="s">
        <v>50</v>
      </c>
      <c r="B23">
        <v>207</v>
      </c>
      <c r="C23">
        <v>228</v>
      </c>
      <c r="D23">
        <v>2165</v>
      </c>
    </row>
    <row r="24" spans="1:9" x14ac:dyDescent="0.3">
      <c r="A24" s="5" t="s">
        <v>51</v>
      </c>
      <c r="B24">
        <v>231</v>
      </c>
      <c r="C24">
        <v>243</v>
      </c>
      <c r="D24">
        <v>2360</v>
      </c>
    </row>
    <row r="25" spans="1:9" x14ac:dyDescent="0.3">
      <c r="A25" s="5" t="s">
        <v>52</v>
      </c>
      <c r="B25">
        <v>191</v>
      </c>
      <c r="C25">
        <v>204</v>
      </c>
      <c r="D25">
        <v>1945</v>
      </c>
    </row>
    <row r="26" spans="1:9" x14ac:dyDescent="0.3">
      <c r="A26" s="5" t="s">
        <v>53</v>
      </c>
      <c r="B26">
        <v>147</v>
      </c>
      <c r="C26">
        <v>163</v>
      </c>
      <c r="D26">
        <v>1452</v>
      </c>
    </row>
    <row r="27" spans="1:9" x14ac:dyDescent="0.3">
      <c r="A27" s="5" t="s">
        <v>54</v>
      </c>
      <c r="B27">
        <v>80</v>
      </c>
      <c r="C27">
        <v>88</v>
      </c>
      <c r="D27">
        <v>775</v>
      </c>
    </row>
    <row r="28" spans="1:9" x14ac:dyDescent="0.3">
      <c r="A28" s="4" t="s">
        <v>38</v>
      </c>
      <c r="B28">
        <v>1997</v>
      </c>
      <c r="C28">
        <v>2158</v>
      </c>
      <c r="D28">
        <v>20712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Christu Raj</dc:creator>
  <cp:lastModifiedBy>John Christu Raj</cp:lastModifiedBy>
  <dcterms:created xsi:type="dcterms:W3CDTF">2026-01-17T15:23:29Z</dcterms:created>
  <dcterms:modified xsi:type="dcterms:W3CDTF">2026-01-22T15:50:45Z</dcterms:modified>
</cp:coreProperties>
</file>