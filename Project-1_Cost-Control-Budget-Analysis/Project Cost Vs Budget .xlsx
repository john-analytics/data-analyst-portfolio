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CHRISTURAJ\Desktop\Data Analyst Portfolio\"/>
    </mc:Choice>
  </mc:AlternateContent>
  <xr:revisionPtr revIDLastSave="0" documentId="8_{8618F628-0E45-470A-B58B-C4A05620AF6F}" xr6:coauthVersionLast="47" xr6:coauthVersionMax="47" xr10:uidLastSave="{00000000-0000-0000-0000-000000000000}"/>
  <bookViews>
    <workbookView xWindow="-108" yWindow="-108" windowWidth="23256" windowHeight="13176" xr2:uid="{075242CC-4846-4664-ACEE-D9C39B651188}"/>
  </bookViews>
  <sheets>
    <sheet name="Sheet1" sheetId="1" r:id="rId1"/>
    <sheet name="Sheet2" sheetId="2" r:id="rId2"/>
  </sheets>
  <definedNames>
    <definedName name="_xlnm._FilterDatabase" localSheetId="0" hidden="1">Sheet1!$A$1:$L$21</definedName>
    <definedName name="Cost_Vs_Budget">Sheet1!$A$1:$L$21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<sst xmlns="http://schemas.openxmlformats.org/spreadsheetml/2006/main" count="235" uniqueCount="137">
  <si>
    <t>Project_ID</t>
  </si>
  <si>
    <t>Project_Name</t>
  </si>
  <si>
    <t>Department</t>
  </si>
  <si>
    <t>Expense_Type</t>
  </si>
  <si>
    <t>Month</t>
  </si>
  <si>
    <t>Status</t>
  </si>
  <si>
    <t>MEIL_P001</t>
  </si>
  <si>
    <t>Polavaram Canal</t>
  </si>
  <si>
    <t>IRRIGATION</t>
  </si>
  <si>
    <t>Civil</t>
  </si>
  <si>
    <t>Completed</t>
  </si>
  <si>
    <t>MEIL_P002</t>
  </si>
  <si>
    <t>Kaleshwaram Pump</t>
  </si>
  <si>
    <t>Electrical</t>
  </si>
  <si>
    <t>Delayed</t>
  </si>
  <si>
    <t>MEIL_P003</t>
  </si>
  <si>
    <t>Uddanam Water</t>
  </si>
  <si>
    <t>Water Supply</t>
  </si>
  <si>
    <t>Pipeline</t>
  </si>
  <si>
    <t>MEIL_P004</t>
  </si>
  <si>
    <t>Zojila Tunnel</t>
  </si>
  <si>
    <t>ROADS</t>
  </si>
  <si>
    <t>Tunneling</t>
  </si>
  <si>
    <t>MEIL_P005</t>
  </si>
  <si>
    <t>Gas Pipeline</t>
  </si>
  <si>
    <t>Oil &amp; Gas</t>
  </si>
  <si>
    <t>On Track</t>
  </si>
  <si>
    <t>MEIL_P006</t>
  </si>
  <si>
    <t>Solar Canal</t>
  </si>
  <si>
    <t>POWER</t>
  </si>
  <si>
    <t>Solar</t>
  </si>
  <si>
    <t>MEIL_P007</t>
  </si>
  <si>
    <t>Thermal Plant</t>
  </si>
  <si>
    <t>Mechanical</t>
  </si>
  <si>
    <t>MEIL_P008</t>
  </si>
  <si>
    <t>Water Grid</t>
  </si>
  <si>
    <t>MEIL_P009</t>
  </si>
  <si>
    <t>Highway Package</t>
  </si>
  <si>
    <t>MEIL_P010</t>
  </si>
  <si>
    <t>Metro Utility</t>
  </si>
  <si>
    <t>INFRA</t>
  </si>
  <si>
    <t>Utility</t>
  </si>
  <si>
    <t>MEIL_P011</t>
  </si>
  <si>
    <t>Bridge Work</t>
  </si>
  <si>
    <t>MEIL_P012</t>
  </si>
  <si>
    <t>Pipeline Zone-1</t>
  </si>
  <si>
    <t>MEIL_P013</t>
  </si>
  <si>
    <t>MEIL_P014</t>
  </si>
  <si>
    <t>STP Project</t>
  </si>
  <si>
    <t>MEIL_P015</t>
  </si>
  <si>
    <t>Canal Lining</t>
  </si>
  <si>
    <t>MEIL_P016</t>
  </si>
  <si>
    <t>Substation</t>
  </si>
  <si>
    <t>MEIL_P017</t>
  </si>
  <si>
    <t>Road Widening</t>
  </si>
  <si>
    <t>MEIL_P018</t>
  </si>
  <si>
    <t>Gas Station</t>
  </si>
  <si>
    <t>MEIL_P019</t>
  </si>
  <si>
    <t>Water Intake</t>
  </si>
  <si>
    <t>MEIL_P020</t>
  </si>
  <si>
    <t>Pipeline Zone-2</t>
  </si>
  <si>
    <t>AP</t>
  </si>
  <si>
    <t>Vijayawada</t>
  </si>
  <si>
    <t>S01</t>
  </si>
  <si>
    <t>TS</t>
  </si>
  <si>
    <t>Karimnagar</t>
  </si>
  <si>
    <t>S02</t>
  </si>
  <si>
    <t>Srikakulam</t>
  </si>
  <si>
    <t>S03</t>
  </si>
  <si>
    <t>JK</t>
  </si>
  <si>
    <t>Sonamarg</t>
  </si>
  <si>
    <t>S04</t>
  </si>
  <si>
    <t>GJ</t>
  </si>
  <si>
    <t>Surat</t>
  </si>
  <si>
    <t>S05</t>
  </si>
  <si>
    <t>Vadodara</t>
  </si>
  <si>
    <t>S06</t>
  </si>
  <si>
    <t>TN</t>
  </si>
  <si>
    <t>Tuticorin</t>
  </si>
  <si>
    <t>S07</t>
  </si>
  <si>
    <t>Hyderabad</t>
  </si>
  <si>
    <t>S08</t>
  </si>
  <si>
    <t>MP</t>
  </si>
  <si>
    <t>Indore</t>
  </si>
  <si>
    <t>S09</t>
  </si>
  <si>
    <t>KA</t>
  </si>
  <si>
    <t>Bengaluru</t>
  </si>
  <si>
    <t>S10</t>
  </si>
  <si>
    <t>Nellore</t>
  </si>
  <si>
    <t>S11</t>
  </si>
  <si>
    <t>Ankleshwar</t>
  </si>
  <si>
    <t>S12</t>
  </si>
  <si>
    <t>Warangal</t>
  </si>
  <si>
    <t>S13</t>
  </si>
  <si>
    <t>MH</t>
  </si>
  <si>
    <t>Pune</t>
  </si>
  <si>
    <t>S14</t>
  </si>
  <si>
    <t>Kurnool</t>
  </si>
  <si>
    <t>S15</t>
  </si>
  <si>
    <t>OD</t>
  </si>
  <si>
    <t>Cuttack</t>
  </si>
  <si>
    <t>S16</t>
  </si>
  <si>
    <t>UP</t>
  </si>
  <si>
    <t>Lucknow</t>
  </si>
  <si>
    <t>S17</t>
  </si>
  <si>
    <t>WB</t>
  </si>
  <si>
    <t>Durgapur</t>
  </si>
  <si>
    <t>S18</t>
  </si>
  <si>
    <t>Nizamabad</t>
  </si>
  <si>
    <t>S19</t>
  </si>
  <si>
    <t>Pump House</t>
  </si>
  <si>
    <t>State</t>
  </si>
  <si>
    <t>City</t>
  </si>
  <si>
    <t>Site Code</t>
  </si>
  <si>
    <t>Cost Variance(Cr)</t>
  </si>
  <si>
    <t>Actual_Cost(Cr)</t>
  </si>
  <si>
    <t>Budget(Cr)</t>
  </si>
  <si>
    <t>Total Budget</t>
  </si>
  <si>
    <t>Total Cost</t>
  </si>
  <si>
    <t>Total Cost Variance</t>
  </si>
  <si>
    <t>Row Labels</t>
  </si>
  <si>
    <t>Grand Total</t>
  </si>
  <si>
    <t>Sum of Budget(Cr)</t>
  </si>
  <si>
    <t>Sum of Actual_Cost(Cr)</t>
  </si>
  <si>
    <t>Sum of Cost Variance(Cr)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</si>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</sst>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7" fontId="0" fillId="3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CHRISTURAJ" refreshedDate="46044.705169212961" createdVersion="8" refreshedVersion="8" minRefreshableVersion="3" recordCount="20" xr:uid="{53093B08-E76A-483C-9A7A-A4046906C4D4}">
  <cacheSource type="worksheet">
    <worksheetSource ref="A1:L21" sheet="Sheet1"/>
  </cacheSource>
  <cacheFields count="14">
    <cacheField name="Project_ID" numFmtId="0">
      <sharedItems/>
    </cacheField>
    <cacheField name="Project_Name" numFmtId="0">
      <sharedItems count="20">
        <s v="Polavaram Canal"/>
        <s v="Kaleshwaram Pump"/>
        <s v="Uddanam Water"/>
        <s v="Zojila Tunnel"/>
        <s v="Gas Pipeline"/>
        <s v="Solar Canal"/>
        <s v="Thermal Plant"/>
        <s v="Water Grid"/>
        <s v="Highway Package"/>
        <s v="Metro Utility"/>
        <s v="Bridge Work"/>
        <s v="Pipeline Zone-1"/>
        <s v="Pump House"/>
        <s v="STP Project"/>
        <s v="Canal Lining"/>
        <s v="Substation"/>
        <s v="Road Widening"/>
        <s v="Gas Station"/>
        <s v="Water Intake"/>
        <s v="Pipeline Zone-2"/>
      </sharedItems>
    </cacheField>
    <cacheField name="Department" numFmtId="0">
      <sharedItems count="6">
        <s v="IRRIGATION"/>
        <s v="Water Supply"/>
        <s v="ROADS"/>
        <s v="Oil &amp; Gas"/>
        <s v="POWER"/>
        <s v="INFRA"/>
      </sharedItems>
    </cacheField>
    <cacheField name="State" numFmtId="0">
      <sharedItems count="11">
        <s v="AP"/>
        <s v="TS"/>
        <s v="JK"/>
        <s v="GJ"/>
        <s v="TN"/>
        <s v="MP"/>
        <s v="KA"/>
        <s v="MH"/>
        <s v="OD"/>
        <s v="UP"/>
        <s v="WB"/>
      </sharedItems>
    </cacheField>
    <cacheField name="City" numFmtId="0">
      <sharedItems count="19">
        <s v="Vijayawada"/>
        <s v="Karimnagar"/>
        <s v="Srikakulam"/>
        <s v="Sonamarg"/>
        <s v="Surat"/>
        <s v="Vadodara"/>
        <s v="Tuticorin"/>
        <s v="Hyderabad"/>
        <s v="Indore"/>
        <s v="Bengaluru"/>
        <s v="Nellore"/>
        <s v="Ankleshwar"/>
        <s v="Warangal"/>
        <s v="Pune"/>
        <s v="Kurnool"/>
        <s v="Cuttack"/>
        <s v="Lucknow"/>
        <s v="Durgapur"/>
        <s v="Nizamabad"/>
      </sharedItems>
    </cacheField>
    <cacheField name="Site Code" numFmtId="0">
      <sharedItems/>
    </cacheField>
    <cacheField name="Budget(Cr)" numFmtId="0">
      <sharedItems containsSemiMixedTypes="0" containsString="0" containsNumber="1" containsInteger="1" minValue="40" maxValue="510"/>
    </cacheField>
    <cacheField name="Actual_Cost(Cr)" numFmtId="0">
      <sharedItems containsSemiMixedTypes="0" containsString="0" containsNumber="1" containsInteger="1" minValue="42" maxValue="520"/>
    </cacheField>
    <cacheField name="Cost Variance(Cr)" numFmtId="0">
      <sharedItems containsSemiMixedTypes="0" containsString="0" containsNumber="1" containsInteger="1" minValue="-20" maxValue="5"/>
    </cacheField>
    <cacheField name="Expense_Type" numFmtId="0">
      <sharedItems/>
    </cacheField>
    <cacheField name="Month" numFmtId="17">
      <sharedItems containsSemiMixedTypes="0" containsNonDate="0" containsDate="1" containsString="0" minDate="2024-01-01T00:00:00" maxDate="2024-10-02T00:00:00" count="10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</sharedItems>
      <fieldGroup par="13"/>
    </cacheField>
    <cacheField name="Status" numFmtId="0">
      <sharedItems/>
    </cacheField>
    <cacheField name="Days (Month)" numFmtId="0" databaseField="0">
      <fieldGroup base="10">
        <rangePr groupBy="days" startDate="2024-01-01T00:00:00" endDate="2024-10-02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0-2024"/>
        </groupItems>
      </fieldGroup>
    </cacheField>
    <cacheField name="Months (Month)" numFmtId="0" databaseField="0">
      <fieldGroup base="10">
        <rangePr groupBy="months" startDate="2024-01-01T00:00:00" endDate="2024-10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0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EIL_P001"/>
    <x v="0"/>
    <x v="0"/>
    <x v="0"/>
    <x v="0"/>
    <s v="S01"/>
    <n v="120"/>
    <n v="118"/>
    <n v="2"/>
    <s v="Civil"/>
    <x v="0"/>
    <s v="Completed"/>
  </r>
  <r>
    <s v="MEIL_P002"/>
    <x v="1"/>
    <x v="0"/>
    <x v="1"/>
    <x v="1"/>
    <s v="S02"/>
    <n v="200"/>
    <n v="215"/>
    <n v="-15"/>
    <s v="Electrical"/>
    <x v="0"/>
    <s v="Delayed"/>
  </r>
  <r>
    <s v="MEIL_P003"/>
    <x v="2"/>
    <x v="1"/>
    <x v="0"/>
    <x v="2"/>
    <s v="S03"/>
    <n v="85"/>
    <n v="80"/>
    <n v="5"/>
    <s v="Pipeline"/>
    <x v="1"/>
    <s v="Completed"/>
  </r>
  <r>
    <s v="MEIL_P004"/>
    <x v="3"/>
    <x v="2"/>
    <x v="2"/>
    <x v="3"/>
    <s v="S04"/>
    <n v="450"/>
    <n v="470"/>
    <n v="-20"/>
    <s v="Tunneling"/>
    <x v="1"/>
    <s v="Delayed"/>
  </r>
  <r>
    <s v="MEIL_P005"/>
    <x v="4"/>
    <x v="3"/>
    <x v="3"/>
    <x v="4"/>
    <s v="S05"/>
    <n v="150"/>
    <n v="145"/>
    <n v="5"/>
    <s v="Pipeline"/>
    <x v="2"/>
    <s v="On Track"/>
  </r>
  <r>
    <s v="MEIL_P006"/>
    <x v="5"/>
    <x v="4"/>
    <x v="3"/>
    <x v="5"/>
    <s v="S06"/>
    <n v="60"/>
    <n v="55"/>
    <n v="5"/>
    <s v="Solar"/>
    <x v="2"/>
    <s v="Completed"/>
  </r>
  <r>
    <s v="MEIL_P007"/>
    <x v="6"/>
    <x v="4"/>
    <x v="4"/>
    <x v="6"/>
    <s v="S07"/>
    <n v="510"/>
    <n v="520"/>
    <n v="-10"/>
    <s v="Mechanical"/>
    <x v="3"/>
    <s v="Delayed"/>
  </r>
  <r>
    <s v="MEIL_P008"/>
    <x v="7"/>
    <x v="1"/>
    <x v="1"/>
    <x v="7"/>
    <s v="S08"/>
    <n v="90"/>
    <n v="85"/>
    <n v="5"/>
    <s v="Civil"/>
    <x v="3"/>
    <s v="On Track"/>
  </r>
  <r>
    <s v="MEIL_P009"/>
    <x v="8"/>
    <x v="2"/>
    <x v="5"/>
    <x v="8"/>
    <s v="S09"/>
    <n v="300"/>
    <n v="295"/>
    <n v="5"/>
    <s v="Civil"/>
    <x v="4"/>
    <s v="Completed"/>
  </r>
  <r>
    <s v="MEIL_P010"/>
    <x v="9"/>
    <x v="5"/>
    <x v="6"/>
    <x v="9"/>
    <s v="S10"/>
    <n v="110"/>
    <n v="130"/>
    <n v="-20"/>
    <s v="Utility"/>
    <x v="4"/>
    <s v="Delayed"/>
  </r>
  <r>
    <s v="MEIL_P011"/>
    <x v="10"/>
    <x v="2"/>
    <x v="0"/>
    <x v="10"/>
    <s v="S11"/>
    <n v="75"/>
    <n v="72"/>
    <n v="3"/>
    <s v="Civil"/>
    <x v="5"/>
    <s v="Completed"/>
  </r>
  <r>
    <s v="MEIL_P012"/>
    <x v="11"/>
    <x v="3"/>
    <x v="3"/>
    <x v="11"/>
    <s v="S12"/>
    <n v="140"/>
    <n v="140"/>
    <n v="0"/>
    <s v="Pipeline"/>
    <x v="5"/>
    <s v="On Track"/>
  </r>
  <r>
    <s v="MEIL_P013"/>
    <x v="12"/>
    <x v="0"/>
    <x v="1"/>
    <x v="12"/>
    <s v="S13"/>
    <n v="95"/>
    <n v="98"/>
    <n v="-3"/>
    <s v="Electrical"/>
    <x v="6"/>
    <s v="Delayed"/>
  </r>
  <r>
    <s v="MEIL_P014"/>
    <x v="13"/>
    <x v="1"/>
    <x v="7"/>
    <x v="13"/>
    <s v="S14"/>
    <n v="60"/>
    <n v="58"/>
    <n v="2"/>
    <s v="Mechanical"/>
    <x v="6"/>
    <s v="Completed"/>
  </r>
  <r>
    <s v="MEIL_P015"/>
    <x v="14"/>
    <x v="0"/>
    <x v="0"/>
    <x v="14"/>
    <s v="S15"/>
    <n v="40"/>
    <n v="42"/>
    <n v="-2"/>
    <s v="Civil"/>
    <x v="7"/>
    <s v="Delayed"/>
  </r>
  <r>
    <s v="MEIL_P016"/>
    <x v="15"/>
    <x v="4"/>
    <x v="8"/>
    <x v="15"/>
    <s v="S16"/>
    <n v="70"/>
    <n v="68"/>
    <n v="2"/>
    <s v="Electrical"/>
    <x v="7"/>
    <s v="Completed"/>
  </r>
  <r>
    <s v="MEIL_P017"/>
    <x v="16"/>
    <x v="2"/>
    <x v="9"/>
    <x v="16"/>
    <s v="S17"/>
    <n v="130"/>
    <n v="125"/>
    <n v="5"/>
    <s v="Civil"/>
    <x v="8"/>
    <s v="Completed"/>
  </r>
  <r>
    <s v="MEIL_P018"/>
    <x v="17"/>
    <x v="3"/>
    <x v="10"/>
    <x v="17"/>
    <s v="S18"/>
    <n v="55"/>
    <n v="60"/>
    <n v="-5"/>
    <s v="Mechanical"/>
    <x v="8"/>
    <s v="Delayed"/>
  </r>
  <r>
    <s v="MEIL_P019"/>
    <x v="18"/>
    <x v="1"/>
    <x v="1"/>
    <x v="18"/>
    <s v="S19"/>
    <n v="48"/>
    <n v="45"/>
    <n v="3"/>
    <s v="Civil"/>
    <x v="9"/>
    <s v="Completed"/>
  </r>
  <r>
    <s v="MEIL_P020"/>
    <x v="19"/>
    <x v="3"/>
    <x v="3"/>
    <x v="4"/>
    <s v="S05"/>
    <n v="150"/>
    <n v="145"/>
    <n v="5"/>
    <s v="Pipeline"/>
    <x v="2"/>
    <s v="On Tra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864AC-C1A0-42AC-9740-F36B3B124F8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23" firstHeaderRow="0" firstDataRow="1" firstDataCol="1"/>
  <pivotFields count="14">
    <pivotField showAll="0"/>
    <pivotField showAll="0">
      <items count="21">
        <item x="10"/>
        <item x="14"/>
        <item x="4"/>
        <item x="17"/>
        <item x="8"/>
        <item x="1"/>
        <item x="9"/>
        <item x="11"/>
        <item x="19"/>
        <item x="0"/>
        <item x="12"/>
        <item x="16"/>
        <item x="5"/>
        <item x="13"/>
        <item x="15"/>
        <item x="6"/>
        <item x="2"/>
        <item x="7"/>
        <item x="18"/>
        <item x="3"/>
        <item t="default"/>
      </items>
    </pivotField>
    <pivotField showAll="0">
      <items count="7">
        <item x="5"/>
        <item x="0"/>
        <item x="3"/>
        <item x="4"/>
        <item x="2"/>
        <item x="1"/>
        <item t="default"/>
      </items>
    </pivotField>
    <pivotField axis="axisRow" showAll="0">
      <items count="12">
        <item x="0"/>
        <item x="3"/>
        <item x="2"/>
        <item x="6"/>
        <item x="7"/>
        <item x="5"/>
        <item x="8"/>
        <item x="4"/>
        <item x="1"/>
        <item x="9"/>
        <item x="10"/>
        <item t="default"/>
      </items>
    </pivotField>
    <pivotField showAll="0">
      <items count="20">
        <item x="11"/>
        <item x="9"/>
        <item x="15"/>
        <item x="17"/>
        <item x="7"/>
        <item x="8"/>
        <item x="1"/>
        <item x="14"/>
        <item x="16"/>
        <item x="10"/>
        <item x="18"/>
        <item x="13"/>
        <item x="3"/>
        <item x="2"/>
        <item x="4"/>
        <item x="6"/>
        <item x="5"/>
        <item x="0"/>
        <item x="12"/>
        <item t="default"/>
      </items>
    </pivotField>
    <pivotField showAll="0"/>
    <pivotField dataField="1" showAll="0"/>
    <pivotField dataField="1" showAll="0"/>
    <pivotField dataField="1" showAll="0"/>
    <pivotField showAll="0"/>
    <pivotField numFmtId="1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(Cr)" fld="6" baseField="0" baseItem="0"/>
    <dataField name="Sum of Actual_Cost(Cr)" fld="7" baseField="0" baseItem="0"/>
    <dataField name="Sum of Cost Variance(Cr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7BF9E-A533-4CE2-B132-26551D7366F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9" firstHeaderRow="0" firstDataRow="1" firstDataCol="1"/>
  <pivotFields count="14">
    <pivotField showAll="0"/>
    <pivotField showAll="0">
      <items count="21">
        <item x="10"/>
        <item x="14"/>
        <item x="4"/>
        <item x="17"/>
        <item x="8"/>
        <item x="1"/>
        <item x="9"/>
        <item x="11"/>
        <item x="19"/>
        <item x="0"/>
        <item x="12"/>
        <item x="16"/>
        <item x="5"/>
        <item x="13"/>
        <item x="15"/>
        <item x="6"/>
        <item x="2"/>
        <item x="7"/>
        <item x="18"/>
        <item x="3"/>
        <item t="default"/>
      </items>
    </pivotField>
    <pivotField axis="axisRow" showAll="0">
      <items count="7">
        <item x="5"/>
        <item x="0"/>
        <item x="3"/>
        <item x="4"/>
        <item x="2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numFmtId="1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(Cr)" fld="6" baseField="0" baseItem="0"/>
    <dataField name="Sum of Actual_Cost(Cr)" fld="7" baseField="0" baseItem="0"/>
    <dataField name="Sum of Cost Variance(Cr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6E7E2-5369-453A-86AC-5C0674CCD88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6:I27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axis="axisRow" numFmtId="1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1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(Cr)" fld="6" baseField="0" baseItem="0"/>
    <dataField name="Sum of Actual_Cost(Cr)" fld="7" baseField="0" baseItem="0"/>
    <dataField name="Sum of Cost Variance(Cr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194C9-B62D-45CE-90F9-BBD147E73D2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I14" firstHeaderRow="0" firstDataRow="1" firstDataCol="1"/>
  <pivotFields count="14">
    <pivotField showAll="0"/>
    <pivotField showAll="0">
      <items count="21">
        <item x="10"/>
        <item x="14"/>
        <item x="4"/>
        <item x="17"/>
        <item x="8"/>
        <item x="1"/>
        <item x="9"/>
        <item x="11"/>
        <item x="19"/>
        <item x="0"/>
        <item x="12"/>
        <item x="16"/>
        <item x="5"/>
        <item x="13"/>
        <item x="15"/>
        <item x="6"/>
        <item x="2"/>
        <item x="7"/>
        <item x="18"/>
        <item x="3"/>
        <item t="default"/>
      </items>
    </pivotField>
    <pivotField showAll="0">
      <items count="7">
        <item x="5"/>
        <item x="0"/>
        <item x="3"/>
        <item x="4"/>
        <item x="2"/>
        <item x="1"/>
        <item t="default"/>
      </items>
    </pivotField>
    <pivotField axis="axisRow" showAll="0">
      <items count="12">
        <item x="0"/>
        <item x="3"/>
        <item x="2"/>
        <item x="6"/>
        <item x="7"/>
        <item x="5"/>
        <item x="8"/>
        <item x="4"/>
        <item x="1"/>
        <item x="9"/>
        <item x="10"/>
        <item t="default"/>
      </items>
    </pivotField>
    <pivotField showAll="0">
      <items count="20">
        <item x="11"/>
        <item x="9"/>
        <item x="15"/>
        <item x="17"/>
        <item x="7"/>
        <item x="8"/>
        <item x="1"/>
        <item x="14"/>
        <item x="16"/>
        <item x="10"/>
        <item x="18"/>
        <item x="13"/>
        <item x="3"/>
        <item x="2"/>
        <item x="4"/>
        <item x="6"/>
        <item x="5"/>
        <item x="0"/>
        <item x="12"/>
        <item t="default"/>
      </items>
    </pivotField>
    <pivotField showAll="0"/>
    <pivotField dataField="1" showAll="0"/>
    <pivotField dataField="1" showAll="0"/>
    <pivotField dataField="1" showAll="0"/>
    <pivotField showAll="0"/>
    <pivotField numFmtId="1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(Cr)" fld="6" baseField="0" baseItem="0"/>
    <dataField name="Sum of Actual_Cost(Cr)" fld="7" baseField="0" baseItem="0"/>
    <dataField name="Sum of Cost Variance(Cr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8EE2C-B715-40DC-969B-5BA4EA833AAA}" name="Table1" displayName="Table1" ref="B27:C30" totalsRowShown="0">
  <autoFilter ref="B27:C30" xr:uid="{3998EE2C-B715-40DC-969B-5BA4EA833AAA}"/>
  <tableColumns count="2">
    <tableColumn id="1" xr3:uid="{909F5425-7C8F-465F-9845-47F83E899D5C}" name="Column1"/>
    <tableColumn id="2" xr3:uid="{7FF63F12-7571-418A-8766-5F788E98058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EAAC-914B-4708-9049-39C458EF85F6}">
  <dimension ref="A1:L21"/>
  <sheetViews>
    <sheetView tabSelected="1" workbookViewId="0">
      <selection activeCell="R8" sqref="R8"/>
    </sheetView>
  </sheetViews>
  <sheetFormatPr defaultRowHeight="14.4" x14ac:dyDescent="0.3"/>
  <cols>
    <col min="1" max="1" width="10.109375" bestFit="1" customWidth="1"/>
    <col min="2" max="2" width="17" bestFit="1" customWidth="1"/>
    <col min="3" max="3" width="11.77734375" bestFit="1" customWidth="1"/>
    <col min="4" max="4" width="5.33203125" bestFit="1" customWidth="1"/>
    <col min="5" max="5" width="10.33203125" bestFit="1" customWidth="1"/>
    <col min="6" max="6" width="8.88671875" bestFit="1" customWidth="1"/>
    <col min="7" max="7" width="10.109375" bestFit="1" customWidth="1"/>
    <col min="8" max="8" width="14.21875" bestFit="1" customWidth="1"/>
    <col min="9" max="9" width="15.6640625" bestFit="1" customWidth="1"/>
    <col min="10" max="10" width="12.5546875" bestFit="1" customWidth="1"/>
    <col min="11" max="11" width="7.21875" bestFit="1" customWidth="1"/>
    <col min="12" max="12" width="9.88671875" bestFit="1" customWidth="1"/>
    <col min="13" max="13" width="4.21875" customWidth="1"/>
    <col min="14" max="14" width="3.88671875" customWidth="1"/>
  </cols>
  <sheetData>
    <row r="1" spans="1:12" ht="17.399999999999999" customHeight="1" x14ac:dyDescent="0.3">
      <c r="A1" s="1" t="s">
        <v>0</v>
      </c>
      <c r="B1" s="1" t="s">
        <v>1</v>
      </c>
      <c r="C1" s="1" t="s">
        <v>2</v>
      </c>
      <c r="D1" s="1" t="s">
        <v>111</v>
      </c>
      <c r="E1" s="1" t="s">
        <v>112</v>
      </c>
      <c r="F1" s="1" t="s">
        <v>113</v>
      </c>
      <c r="G1" s="1" t="s">
        <v>116</v>
      </c>
      <c r="H1" s="1" t="s">
        <v>115</v>
      </c>
      <c r="I1" s="1" t="s">
        <v>114</v>
      </c>
      <c r="J1" s="1" t="s">
        <v>3</v>
      </c>
      <c r="K1" s="1" t="s">
        <v>4</v>
      </c>
      <c r="L1" s="1" t="s">
        <v>5</v>
      </c>
    </row>
    <row r="2" spans="1:12" ht="17.399999999999999" customHeight="1" x14ac:dyDescent="0.3">
      <c r="A2" s="2" t="s">
        <v>6</v>
      </c>
      <c r="B2" s="2" t="s">
        <v>7</v>
      </c>
      <c r="C2" s="2" t="s">
        <v>8</v>
      </c>
      <c r="D2" s="2" t="s">
        <v>61</v>
      </c>
      <c r="E2" s="2" t="s">
        <v>62</v>
      </c>
      <c r="F2" s="2" t="s">
        <v>63</v>
      </c>
      <c r="G2" s="2">
        <v>120</v>
      </c>
      <c r="H2" s="2">
        <v>118</v>
      </c>
      <c r="I2" s="2">
        <f>G2-H2</f>
        <v>2</v>
      </c>
      <c r="J2" s="2" t="s">
        <v>9</v>
      </c>
      <c r="K2" s="3">
        <v>45292</v>
      </c>
      <c r="L2" s="2" t="s">
        <v>10</v>
      </c>
    </row>
    <row r="3" spans="1:12" ht="17.399999999999999" customHeight="1" x14ac:dyDescent="0.3">
      <c r="A3" s="2" t="s">
        <v>11</v>
      </c>
      <c r="B3" s="2" t="s">
        <v>12</v>
      </c>
      <c r="C3" s="2" t="s">
        <v>8</v>
      </c>
      <c r="D3" s="2" t="s">
        <v>64</v>
      </c>
      <c r="E3" s="2" t="s">
        <v>65</v>
      </c>
      <c r="F3" s="2" t="s">
        <v>66</v>
      </c>
      <c r="G3" s="2">
        <v>200</v>
      </c>
      <c r="H3" s="2">
        <v>215</v>
      </c>
      <c r="I3" s="2">
        <f t="shared" ref="I3:I21" si="0">G3-H3</f>
        <v>-15</v>
      </c>
      <c r="J3" s="2" t="s">
        <v>13</v>
      </c>
      <c r="K3" s="3">
        <v>45292</v>
      </c>
      <c r="L3" s="2" t="s">
        <v>14</v>
      </c>
    </row>
    <row r="4" spans="1:12" ht="17.399999999999999" customHeight="1" x14ac:dyDescent="0.3">
      <c r="A4" s="2" t="s">
        <v>15</v>
      </c>
      <c r="B4" s="2" t="s">
        <v>16</v>
      </c>
      <c r="C4" s="2" t="s">
        <v>17</v>
      </c>
      <c r="D4" s="2" t="s">
        <v>61</v>
      </c>
      <c r="E4" s="2" t="s">
        <v>67</v>
      </c>
      <c r="F4" s="2" t="s">
        <v>68</v>
      </c>
      <c r="G4" s="2">
        <v>85</v>
      </c>
      <c r="H4" s="2">
        <v>80</v>
      </c>
      <c r="I4" s="2">
        <f t="shared" si="0"/>
        <v>5</v>
      </c>
      <c r="J4" s="2" t="s">
        <v>18</v>
      </c>
      <c r="K4" s="3">
        <v>45323</v>
      </c>
      <c r="L4" s="2" t="s">
        <v>10</v>
      </c>
    </row>
    <row r="5" spans="1:12" ht="17.399999999999999" customHeight="1" x14ac:dyDescent="0.3">
      <c r="A5" s="2" t="s">
        <v>19</v>
      </c>
      <c r="B5" s="2" t="s">
        <v>20</v>
      </c>
      <c r="C5" s="2" t="s">
        <v>21</v>
      </c>
      <c r="D5" s="2" t="s">
        <v>69</v>
      </c>
      <c r="E5" s="2" t="s">
        <v>70</v>
      </c>
      <c r="F5" s="2" t="s">
        <v>71</v>
      </c>
      <c r="G5" s="2">
        <v>450</v>
      </c>
      <c r="H5" s="2">
        <v>470</v>
      </c>
      <c r="I5" s="2">
        <f t="shared" si="0"/>
        <v>-20</v>
      </c>
      <c r="J5" s="2" t="s">
        <v>22</v>
      </c>
      <c r="K5" s="3">
        <v>45323</v>
      </c>
      <c r="L5" s="2" t="s">
        <v>14</v>
      </c>
    </row>
    <row r="6" spans="1:12" ht="17.399999999999999" customHeight="1" x14ac:dyDescent="0.3">
      <c r="A6" s="2" t="s">
        <v>23</v>
      </c>
      <c r="B6" s="2" t="s">
        <v>24</v>
      </c>
      <c r="C6" s="2" t="s">
        <v>25</v>
      </c>
      <c r="D6" s="2" t="s">
        <v>72</v>
      </c>
      <c r="E6" s="2" t="s">
        <v>73</v>
      </c>
      <c r="F6" s="2" t="s">
        <v>74</v>
      </c>
      <c r="G6" s="2">
        <v>150</v>
      </c>
      <c r="H6" s="2">
        <v>145</v>
      </c>
      <c r="I6" s="2">
        <f t="shared" si="0"/>
        <v>5</v>
      </c>
      <c r="J6" s="2" t="s">
        <v>18</v>
      </c>
      <c r="K6" s="3">
        <v>45352</v>
      </c>
      <c r="L6" s="2" t="s">
        <v>26</v>
      </c>
    </row>
    <row r="7" spans="1:12" ht="17.399999999999999" customHeight="1" x14ac:dyDescent="0.3">
      <c r="A7" s="2" t="s">
        <v>27</v>
      </c>
      <c r="B7" s="2" t="s">
        <v>28</v>
      </c>
      <c r="C7" s="2" t="s">
        <v>29</v>
      </c>
      <c r="D7" s="2" t="s">
        <v>72</v>
      </c>
      <c r="E7" s="2" t="s">
        <v>75</v>
      </c>
      <c r="F7" s="2" t="s">
        <v>76</v>
      </c>
      <c r="G7" s="2">
        <v>60</v>
      </c>
      <c r="H7" s="2">
        <v>55</v>
      </c>
      <c r="I7" s="2">
        <f t="shared" si="0"/>
        <v>5</v>
      </c>
      <c r="J7" s="2" t="s">
        <v>30</v>
      </c>
      <c r="K7" s="3">
        <v>45352</v>
      </c>
      <c r="L7" s="2" t="s">
        <v>10</v>
      </c>
    </row>
    <row r="8" spans="1:12" ht="17.399999999999999" customHeight="1" x14ac:dyDescent="0.3">
      <c r="A8" s="2" t="s">
        <v>31</v>
      </c>
      <c r="B8" s="2" t="s">
        <v>32</v>
      </c>
      <c r="C8" s="2" t="s">
        <v>29</v>
      </c>
      <c r="D8" s="2" t="s">
        <v>77</v>
      </c>
      <c r="E8" s="2" t="s">
        <v>78</v>
      </c>
      <c r="F8" s="2" t="s">
        <v>79</v>
      </c>
      <c r="G8" s="2">
        <v>510</v>
      </c>
      <c r="H8" s="2">
        <v>520</v>
      </c>
      <c r="I8" s="2">
        <f t="shared" si="0"/>
        <v>-10</v>
      </c>
      <c r="J8" s="2" t="s">
        <v>33</v>
      </c>
      <c r="K8" s="3">
        <v>45383</v>
      </c>
      <c r="L8" s="2" t="s">
        <v>14</v>
      </c>
    </row>
    <row r="9" spans="1:12" ht="17.399999999999999" customHeight="1" x14ac:dyDescent="0.3">
      <c r="A9" s="2" t="s">
        <v>34</v>
      </c>
      <c r="B9" s="2" t="s">
        <v>35</v>
      </c>
      <c r="C9" s="2" t="s">
        <v>17</v>
      </c>
      <c r="D9" s="2" t="s">
        <v>64</v>
      </c>
      <c r="E9" s="2" t="s">
        <v>80</v>
      </c>
      <c r="F9" s="2" t="s">
        <v>81</v>
      </c>
      <c r="G9" s="2">
        <v>90</v>
      </c>
      <c r="H9" s="2">
        <v>85</v>
      </c>
      <c r="I9" s="2">
        <f t="shared" si="0"/>
        <v>5</v>
      </c>
      <c r="J9" s="2" t="s">
        <v>9</v>
      </c>
      <c r="K9" s="3">
        <v>45383</v>
      </c>
      <c r="L9" s="2" t="s">
        <v>26</v>
      </c>
    </row>
    <row r="10" spans="1:12" ht="17.399999999999999" customHeight="1" x14ac:dyDescent="0.3">
      <c r="A10" s="2" t="s">
        <v>36</v>
      </c>
      <c r="B10" s="2" t="s">
        <v>37</v>
      </c>
      <c r="C10" s="2" t="s">
        <v>21</v>
      </c>
      <c r="D10" s="2" t="s">
        <v>82</v>
      </c>
      <c r="E10" s="2" t="s">
        <v>83</v>
      </c>
      <c r="F10" s="2" t="s">
        <v>84</v>
      </c>
      <c r="G10" s="2">
        <v>300</v>
      </c>
      <c r="H10" s="2">
        <v>295</v>
      </c>
      <c r="I10" s="2">
        <f t="shared" si="0"/>
        <v>5</v>
      </c>
      <c r="J10" s="2" t="s">
        <v>9</v>
      </c>
      <c r="K10" s="3">
        <v>45413</v>
      </c>
      <c r="L10" s="2" t="s">
        <v>10</v>
      </c>
    </row>
    <row r="11" spans="1:12" ht="17.399999999999999" customHeight="1" x14ac:dyDescent="0.3">
      <c r="A11" s="2" t="s">
        <v>38</v>
      </c>
      <c r="B11" s="2" t="s">
        <v>39</v>
      </c>
      <c r="C11" s="2" t="s">
        <v>40</v>
      </c>
      <c r="D11" s="2" t="s">
        <v>85</v>
      </c>
      <c r="E11" s="2" t="s">
        <v>86</v>
      </c>
      <c r="F11" s="2" t="s">
        <v>87</v>
      </c>
      <c r="G11" s="2">
        <v>110</v>
      </c>
      <c r="H11" s="2">
        <v>130</v>
      </c>
      <c r="I11" s="2">
        <f t="shared" si="0"/>
        <v>-20</v>
      </c>
      <c r="J11" s="2" t="s">
        <v>41</v>
      </c>
      <c r="K11" s="3">
        <v>45413</v>
      </c>
      <c r="L11" s="2" t="s">
        <v>14</v>
      </c>
    </row>
    <row r="12" spans="1:12" ht="17.399999999999999" customHeight="1" x14ac:dyDescent="0.3">
      <c r="A12" s="2" t="s">
        <v>42</v>
      </c>
      <c r="B12" s="2" t="s">
        <v>43</v>
      </c>
      <c r="C12" s="2" t="s">
        <v>21</v>
      </c>
      <c r="D12" s="2" t="s">
        <v>61</v>
      </c>
      <c r="E12" s="2" t="s">
        <v>88</v>
      </c>
      <c r="F12" s="2" t="s">
        <v>89</v>
      </c>
      <c r="G12" s="2">
        <v>75</v>
      </c>
      <c r="H12" s="2">
        <v>72</v>
      </c>
      <c r="I12" s="2">
        <f t="shared" si="0"/>
        <v>3</v>
      </c>
      <c r="J12" s="2" t="s">
        <v>9</v>
      </c>
      <c r="K12" s="3">
        <v>45444</v>
      </c>
      <c r="L12" s="2" t="s">
        <v>10</v>
      </c>
    </row>
    <row r="13" spans="1:12" ht="17.399999999999999" customHeight="1" x14ac:dyDescent="0.3">
      <c r="A13" s="2" t="s">
        <v>44</v>
      </c>
      <c r="B13" s="2" t="s">
        <v>45</v>
      </c>
      <c r="C13" s="2" t="s">
        <v>25</v>
      </c>
      <c r="D13" s="2" t="s">
        <v>72</v>
      </c>
      <c r="E13" s="2" t="s">
        <v>90</v>
      </c>
      <c r="F13" s="2" t="s">
        <v>91</v>
      </c>
      <c r="G13" s="2">
        <v>140</v>
      </c>
      <c r="H13" s="2">
        <v>140</v>
      </c>
      <c r="I13" s="2">
        <f t="shared" si="0"/>
        <v>0</v>
      </c>
      <c r="J13" s="2" t="s">
        <v>18</v>
      </c>
      <c r="K13" s="3">
        <v>45444</v>
      </c>
      <c r="L13" s="2" t="s">
        <v>26</v>
      </c>
    </row>
    <row r="14" spans="1:12" ht="17.399999999999999" customHeight="1" x14ac:dyDescent="0.3">
      <c r="A14" s="2" t="s">
        <v>46</v>
      </c>
      <c r="B14" s="2" t="s">
        <v>110</v>
      </c>
      <c r="C14" s="2" t="s">
        <v>8</v>
      </c>
      <c r="D14" s="2" t="s">
        <v>64</v>
      </c>
      <c r="E14" s="2" t="s">
        <v>92</v>
      </c>
      <c r="F14" s="2" t="s">
        <v>93</v>
      </c>
      <c r="G14" s="2">
        <v>95</v>
      </c>
      <c r="H14" s="2">
        <v>98</v>
      </c>
      <c r="I14" s="2">
        <f t="shared" si="0"/>
        <v>-3</v>
      </c>
      <c r="J14" s="2" t="s">
        <v>13</v>
      </c>
      <c r="K14" s="3">
        <v>45474</v>
      </c>
      <c r="L14" s="2" t="s">
        <v>14</v>
      </c>
    </row>
    <row r="15" spans="1:12" ht="17.399999999999999" customHeight="1" x14ac:dyDescent="0.3">
      <c r="A15" s="2" t="s">
        <v>47</v>
      </c>
      <c r="B15" s="2" t="s">
        <v>48</v>
      </c>
      <c r="C15" s="2" t="s">
        <v>17</v>
      </c>
      <c r="D15" s="2" t="s">
        <v>94</v>
      </c>
      <c r="E15" s="2" t="s">
        <v>95</v>
      </c>
      <c r="F15" s="2" t="s">
        <v>96</v>
      </c>
      <c r="G15" s="2">
        <v>60</v>
      </c>
      <c r="H15" s="2">
        <v>58</v>
      </c>
      <c r="I15" s="2">
        <f t="shared" si="0"/>
        <v>2</v>
      </c>
      <c r="J15" s="2" t="s">
        <v>33</v>
      </c>
      <c r="K15" s="3">
        <v>45474</v>
      </c>
      <c r="L15" s="2" t="s">
        <v>10</v>
      </c>
    </row>
    <row r="16" spans="1:12" ht="17.399999999999999" customHeight="1" x14ac:dyDescent="0.3">
      <c r="A16" s="2" t="s">
        <v>49</v>
      </c>
      <c r="B16" s="2" t="s">
        <v>50</v>
      </c>
      <c r="C16" s="2" t="s">
        <v>8</v>
      </c>
      <c r="D16" s="2" t="s">
        <v>61</v>
      </c>
      <c r="E16" s="2" t="s">
        <v>97</v>
      </c>
      <c r="F16" s="2" t="s">
        <v>98</v>
      </c>
      <c r="G16" s="2">
        <v>40</v>
      </c>
      <c r="H16" s="2">
        <v>42</v>
      </c>
      <c r="I16" s="2">
        <f t="shared" si="0"/>
        <v>-2</v>
      </c>
      <c r="J16" s="2" t="s">
        <v>9</v>
      </c>
      <c r="K16" s="3">
        <v>45505</v>
      </c>
      <c r="L16" s="2" t="s">
        <v>14</v>
      </c>
    </row>
    <row r="17" spans="1:12" ht="17.399999999999999" customHeight="1" x14ac:dyDescent="0.3">
      <c r="A17" s="2" t="s">
        <v>51</v>
      </c>
      <c r="B17" s="2" t="s">
        <v>52</v>
      </c>
      <c r="C17" s="2" t="s">
        <v>29</v>
      </c>
      <c r="D17" s="2" t="s">
        <v>99</v>
      </c>
      <c r="E17" s="2" t="s">
        <v>100</v>
      </c>
      <c r="F17" s="2" t="s">
        <v>101</v>
      </c>
      <c r="G17" s="2">
        <v>70</v>
      </c>
      <c r="H17" s="2">
        <v>68</v>
      </c>
      <c r="I17" s="2">
        <f t="shared" si="0"/>
        <v>2</v>
      </c>
      <c r="J17" s="2" t="s">
        <v>13</v>
      </c>
      <c r="K17" s="3">
        <v>45505</v>
      </c>
      <c r="L17" s="2" t="s">
        <v>10</v>
      </c>
    </row>
    <row r="18" spans="1:12" ht="17.399999999999999" customHeight="1" x14ac:dyDescent="0.3">
      <c r="A18" s="2" t="s">
        <v>53</v>
      </c>
      <c r="B18" s="2" t="s">
        <v>54</v>
      </c>
      <c r="C18" s="2" t="s">
        <v>21</v>
      </c>
      <c r="D18" s="2" t="s">
        <v>102</v>
      </c>
      <c r="E18" s="2" t="s">
        <v>103</v>
      </c>
      <c r="F18" s="2" t="s">
        <v>104</v>
      </c>
      <c r="G18" s="2">
        <v>130</v>
      </c>
      <c r="H18" s="2">
        <v>125</v>
      </c>
      <c r="I18" s="2">
        <f t="shared" si="0"/>
        <v>5</v>
      </c>
      <c r="J18" s="2" t="s">
        <v>9</v>
      </c>
      <c r="K18" s="3">
        <v>45536</v>
      </c>
      <c r="L18" s="2" t="s">
        <v>10</v>
      </c>
    </row>
    <row r="19" spans="1:12" ht="17.399999999999999" customHeight="1" x14ac:dyDescent="0.3">
      <c r="A19" s="2" t="s">
        <v>55</v>
      </c>
      <c r="B19" s="2" t="s">
        <v>56</v>
      </c>
      <c r="C19" s="2" t="s">
        <v>25</v>
      </c>
      <c r="D19" s="2" t="s">
        <v>105</v>
      </c>
      <c r="E19" s="2" t="s">
        <v>106</v>
      </c>
      <c r="F19" s="2" t="s">
        <v>107</v>
      </c>
      <c r="G19" s="2">
        <v>55</v>
      </c>
      <c r="H19" s="2">
        <v>60</v>
      </c>
      <c r="I19" s="2">
        <f t="shared" si="0"/>
        <v>-5</v>
      </c>
      <c r="J19" s="2" t="s">
        <v>33</v>
      </c>
      <c r="K19" s="3">
        <v>45536</v>
      </c>
      <c r="L19" s="2" t="s">
        <v>14</v>
      </c>
    </row>
    <row r="20" spans="1:12" ht="17.399999999999999" customHeight="1" x14ac:dyDescent="0.3">
      <c r="A20" s="2" t="s">
        <v>57</v>
      </c>
      <c r="B20" s="2" t="s">
        <v>58</v>
      </c>
      <c r="C20" s="2" t="s">
        <v>17</v>
      </c>
      <c r="D20" s="2" t="s">
        <v>64</v>
      </c>
      <c r="E20" s="2" t="s">
        <v>108</v>
      </c>
      <c r="F20" s="2" t="s">
        <v>109</v>
      </c>
      <c r="G20" s="2">
        <v>48</v>
      </c>
      <c r="H20" s="2">
        <v>45</v>
      </c>
      <c r="I20" s="2">
        <f t="shared" si="0"/>
        <v>3</v>
      </c>
      <c r="J20" s="2" t="s">
        <v>9</v>
      </c>
      <c r="K20" s="3">
        <v>45566</v>
      </c>
      <c r="L20" s="2" t="s">
        <v>10</v>
      </c>
    </row>
    <row r="21" spans="1:12" ht="17.399999999999999" customHeight="1" x14ac:dyDescent="0.3">
      <c r="A21" s="2" t="s">
        <v>59</v>
      </c>
      <c r="B21" s="2" t="s">
        <v>60</v>
      </c>
      <c r="C21" s="2" t="s">
        <v>25</v>
      </c>
      <c r="D21" s="2" t="s">
        <v>72</v>
      </c>
      <c r="E21" s="2" t="s">
        <v>73</v>
      </c>
      <c r="F21" s="2" t="s">
        <v>74</v>
      </c>
      <c r="G21" s="2">
        <v>150</v>
      </c>
      <c r="H21" s="2">
        <v>145</v>
      </c>
      <c r="I21" s="2">
        <f t="shared" si="0"/>
        <v>5</v>
      </c>
      <c r="J21" s="2" t="s">
        <v>18</v>
      </c>
      <c r="K21" s="3">
        <v>45352</v>
      </c>
      <c r="L21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CEC9-BF99-49D7-A849-F38E4A414D80}">
  <dimension ref="A2:P37"/>
  <sheetViews>
    <sheetView topLeftCell="A3" workbookViewId="0">
      <selection activeCell="L14" sqref="L14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20.77734375" bestFit="1" customWidth="1"/>
    <col min="4" max="4" width="22.33203125" bestFit="1" customWidth="1"/>
    <col min="5" max="5" width="2.5546875" customWidth="1"/>
    <col min="6" max="6" width="12.5546875" bestFit="1" customWidth="1"/>
    <col min="7" max="7" width="16.6640625" bestFit="1" customWidth="1"/>
    <col min="8" max="8" width="20.77734375" bestFit="1" customWidth="1"/>
    <col min="9" max="9" width="22.33203125" bestFit="1" customWidth="1"/>
    <col min="10" max="10" width="14.109375" bestFit="1" customWidth="1"/>
    <col min="11" max="12" width="10.44140625" customWidth="1"/>
    <col min="13" max="13" width="12.5546875" bestFit="1" customWidth="1"/>
    <col min="14" max="14" width="19.109375" bestFit="1" customWidth="1"/>
    <col min="15" max="15" width="17" bestFit="1" customWidth="1"/>
    <col min="16" max="16" width="22.33203125" bestFit="1" customWidth="1"/>
    <col min="17" max="20" width="10.44140625" customWidth="1"/>
  </cols>
  <sheetData>
    <row r="2" spans="1:9" x14ac:dyDescent="0.3">
      <c r="A2" s="4" t="s">
        <v>120</v>
      </c>
      <c r="B2" t="s">
        <v>122</v>
      </c>
      <c r="C2" t="s">
        <v>123</v>
      </c>
      <c r="D2" t="s">
        <v>124</v>
      </c>
      <c r="F2" s="4" t="s">
        <v>120</v>
      </c>
      <c r="G2" t="s">
        <v>122</v>
      </c>
      <c r="H2" t="s">
        <v>123</v>
      </c>
      <c r="I2" t="s">
        <v>124</v>
      </c>
    </row>
    <row r="3" spans="1:9" x14ac:dyDescent="0.3">
      <c r="A3" s="5" t="s">
        <v>40</v>
      </c>
      <c r="B3">
        <v>110</v>
      </c>
      <c r="C3">
        <v>130</v>
      </c>
      <c r="D3">
        <v>-20</v>
      </c>
      <c r="F3" s="5" t="s">
        <v>61</v>
      </c>
      <c r="G3">
        <v>320</v>
      </c>
      <c r="H3">
        <v>312</v>
      </c>
      <c r="I3">
        <v>8</v>
      </c>
    </row>
    <row r="4" spans="1:9" x14ac:dyDescent="0.3">
      <c r="A4" s="5" t="s">
        <v>8</v>
      </c>
      <c r="B4">
        <v>455</v>
      </c>
      <c r="C4">
        <v>473</v>
      </c>
      <c r="D4">
        <v>-18</v>
      </c>
      <c r="F4" s="5" t="s">
        <v>72</v>
      </c>
      <c r="G4">
        <v>500</v>
      </c>
      <c r="H4">
        <v>485</v>
      </c>
      <c r="I4">
        <v>15</v>
      </c>
    </row>
    <row r="5" spans="1:9" x14ac:dyDescent="0.3">
      <c r="A5" s="5" t="s">
        <v>25</v>
      </c>
      <c r="B5">
        <v>495</v>
      </c>
      <c r="C5">
        <v>490</v>
      </c>
      <c r="D5">
        <v>5</v>
      </c>
      <c r="F5" s="5" t="s">
        <v>69</v>
      </c>
      <c r="G5">
        <v>450</v>
      </c>
      <c r="H5">
        <v>470</v>
      </c>
      <c r="I5">
        <v>-20</v>
      </c>
    </row>
    <row r="6" spans="1:9" x14ac:dyDescent="0.3">
      <c r="A6" s="5" t="s">
        <v>29</v>
      </c>
      <c r="B6">
        <v>640</v>
      </c>
      <c r="C6">
        <v>643</v>
      </c>
      <c r="D6">
        <v>-3</v>
      </c>
      <c r="F6" s="5" t="s">
        <v>85</v>
      </c>
      <c r="G6">
        <v>110</v>
      </c>
      <c r="H6">
        <v>130</v>
      </c>
      <c r="I6">
        <v>-20</v>
      </c>
    </row>
    <row r="7" spans="1:9" x14ac:dyDescent="0.3">
      <c r="A7" s="5" t="s">
        <v>21</v>
      </c>
      <c r="B7">
        <v>955</v>
      </c>
      <c r="C7">
        <v>962</v>
      </c>
      <c r="D7">
        <v>-7</v>
      </c>
      <c r="F7" s="5" t="s">
        <v>94</v>
      </c>
      <c r="G7">
        <v>60</v>
      </c>
      <c r="H7">
        <v>58</v>
      </c>
      <c r="I7">
        <v>2</v>
      </c>
    </row>
    <row r="8" spans="1:9" x14ac:dyDescent="0.3">
      <c r="A8" s="5" t="s">
        <v>17</v>
      </c>
      <c r="B8">
        <v>283</v>
      </c>
      <c r="C8">
        <v>268</v>
      </c>
      <c r="D8">
        <v>15</v>
      </c>
      <c r="F8" s="5" t="s">
        <v>82</v>
      </c>
      <c r="G8">
        <v>300</v>
      </c>
      <c r="H8">
        <v>295</v>
      </c>
      <c r="I8">
        <v>5</v>
      </c>
    </row>
    <row r="9" spans="1:9" x14ac:dyDescent="0.3">
      <c r="A9" s="5" t="s">
        <v>121</v>
      </c>
      <c r="B9">
        <v>2938</v>
      </c>
      <c r="C9">
        <v>2966</v>
      </c>
      <c r="D9">
        <v>-28</v>
      </c>
      <c r="F9" s="5" t="s">
        <v>99</v>
      </c>
      <c r="G9">
        <v>70</v>
      </c>
      <c r="H9">
        <v>68</v>
      </c>
      <c r="I9">
        <v>2</v>
      </c>
    </row>
    <row r="10" spans="1:9" x14ac:dyDescent="0.3">
      <c r="F10" s="5" t="s">
        <v>77</v>
      </c>
      <c r="G10">
        <v>510</v>
      </c>
      <c r="H10">
        <v>520</v>
      </c>
      <c r="I10">
        <v>-10</v>
      </c>
    </row>
    <row r="11" spans="1:9" x14ac:dyDescent="0.3">
      <c r="A11" s="4" t="s">
        <v>120</v>
      </c>
      <c r="B11" t="s">
        <v>122</v>
      </c>
      <c r="C11" t="s">
        <v>123</v>
      </c>
      <c r="D11" t="s">
        <v>124</v>
      </c>
      <c r="F11" s="5" t="s">
        <v>64</v>
      </c>
      <c r="G11">
        <v>433</v>
      </c>
      <c r="H11">
        <v>443</v>
      </c>
      <c r="I11">
        <v>-10</v>
      </c>
    </row>
    <row r="12" spans="1:9" x14ac:dyDescent="0.3">
      <c r="A12" s="5" t="s">
        <v>61</v>
      </c>
      <c r="B12">
        <v>320</v>
      </c>
      <c r="C12">
        <v>312</v>
      </c>
      <c r="D12">
        <v>8</v>
      </c>
      <c r="F12" s="5" t="s">
        <v>102</v>
      </c>
      <c r="G12">
        <v>130</v>
      </c>
      <c r="H12">
        <v>125</v>
      </c>
      <c r="I12">
        <v>5</v>
      </c>
    </row>
    <row r="13" spans="1:9" x14ac:dyDescent="0.3">
      <c r="A13" s="5" t="s">
        <v>72</v>
      </c>
      <c r="B13">
        <v>500</v>
      </c>
      <c r="C13">
        <v>485</v>
      </c>
      <c r="D13">
        <v>15</v>
      </c>
      <c r="F13" s="5" t="s">
        <v>105</v>
      </c>
      <c r="G13">
        <v>55</v>
      </c>
      <c r="H13">
        <v>60</v>
      </c>
      <c r="I13">
        <v>-5</v>
      </c>
    </row>
    <row r="14" spans="1:9" x14ac:dyDescent="0.3">
      <c r="A14" s="5" t="s">
        <v>69</v>
      </c>
      <c r="B14">
        <v>450</v>
      </c>
      <c r="C14">
        <v>470</v>
      </c>
      <c r="D14">
        <v>-20</v>
      </c>
      <c r="F14" s="5" t="s">
        <v>121</v>
      </c>
      <c r="G14">
        <v>2938</v>
      </c>
      <c r="H14">
        <v>2966</v>
      </c>
      <c r="I14">
        <v>-28</v>
      </c>
    </row>
    <row r="15" spans="1:9" x14ac:dyDescent="0.3">
      <c r="A15" s="5" t="s">
        <v>85</v>
      </c>
      <c r="B15">
        <v>110</v>
      </c>
      <c r="C15">
        <v>130</v>
      </c>
      <c r="D15">
        <v>-20</v>
      </c>
    </row>
    <row r="16" spans="1:9" x14ac:dyDescent="0.3">
      <c r="A16" s="5" t="s">
        <v>94</v>
      </c>
      <c r="B16">
        <v>60</v>
      </c>
      <c r="C16">
        <v>58</v>
      </c>
      <c r="D16">
        <v>2</v>
      </c>
      <c r="F16" s="4" t="s">
        <v>120</v>
      </c>
      <c r="G16" t="s">
        <v>122</v>
      </c>
      <c r="H16" t="s">
        <v>123</v>
      </c>
      <c r="I16" t="s">
        <v>124</v>
      </c>
    </row>
    <row r="17" spans="1:16" x14ac:dyDescent="0.3">
      <c r="A17" s="5" t="s">
        <v>82</v>
      </c>
      <c r="B17">
        <v>300</v>
      </c>
      <c r="C17">
        <v>295</v>
      </c>
      <c r="D17">
        <v>5</v>
      </c>
      <c r="F17" s="5" t="s">
        <v>125</v>
      </c>
      <c r="G17">
        <v>320</v>
      </c>
      <c r="H17">
        <v>333</v>
      </c>
      <c r="I17">
        <v>-13</v>
      </c>
    </row>
    <row r="18" spans="1:16" x14ac:dyDescent="0.3">
      <c r="A18" s="5" t="s">
        <v>99</v>
      </c>
      <c r="B18">
        <v>70</v>
      </c>
      <c r="C18">
        <v>68</v>
      </c>
      <c r="D18">
        <v>2</v>
      </c>
      <c r="F18" s="5" t="s">
        <v>126</v>
      </c>
      <c r="G18">
        <v>535</v>
      </c>
      <c r="H18">
        <v>550</v>
      </c>
      <c r="I18">
        <v>-15</v>
      </c>
    </row>
    <row r="19" spans="1:16" x14ac:dyDescent="0.3">
      <c r="A19" s="5" t="s">
        <v>77</v>
      </c>
      <c r="B19">
        <v>510</v>
      </c>
      <c r="C19">
        <v>520</v>
      </c>
      <c r="D19">
        <v>-10</v>
      </c>
      <c r="F19" s="5" t="s">
        <v>127</v>
      </c>
      <c r="G19">
        <v>360</v>
      </c>
      <c r="H19">
        <v>345</v>
      </c>
      <c r="I19">
        <v>15</v>
      </c>
    </row>
    <row r="20" spans="1:16" x14ac:dyDescent="0.3">
      <c r="A20" s="5" t="s">
        <v>64</v>
      </c>
      <c r="B20">
        <v>433</v>
      </c>
      <c r="C20">
        <v>443</v>
      </c>
      <c r="D20">
        <v>-10</v>
      </c>
      <c r="F20" s="5" t="s">
        <v>128</v>
      </c>
      <c r="G20">
        <v>600</v>
      </c>
      <c r="H20">
        <v>605</v>
      </c>
      <c r="I20">
        <v>-5</v>
      </c>
    </row>
    <row r="21" spans="1:16" x14ac:dyDescent="0.3">
      <c r="A21" s="5" t="s">
        <v>102</v>
      </c>
      <c r="B21">
        <v>130</v>
      </c>
      <c r="C21">
        <v>125</v>
      </c>
      <c r="D21">
        <v>5</v>
      </c>
      <c r="F21" s="5" t="s">
        <v>129</v>
      </c>
      <c r="G21">
        <v>410</v>
      </c>
      <c r="H21">
        <v>425</v>
      </c>
      <c r="I21">
        <v>-15</v>
      </c>
    </row>
    <row r="22" spans="1:16" x14ac:dyDescent="0.3">
      <c r="A22" s="5" t="s">
        <v>105</v>
      </c>
      <c r="B22">
        <v>55</v>
      </c>
      <c r="C22">
        <v>60</v>
      </c>
      <c r="D22">
        <v>-5</v>
      </c>
      <c r="F22" s="5" t="s">
        <v>130</v>
      </c>
      <c r="G22">
        <v>215</v>
      </c>
      <c r="H22">
        <v>212</v>
      </c>
      <c r="I22">
        <v>3</v>
      </c>
    </row>
    <row r="23" spans="1:16" x14ac:dyDescent="0.3">
      <c r="A23" s="5" t="s">
        <v>121</v>
      </c>
      <c r="B23">
        <v>2938</v>
      </c>
      <c r="C23">
        <v>2966</v>
      </c>
      <c r="D23">
        <v>-28</v>
      </c>
      <c r="F23" s="5" t="s">
        <v>131</v>
      </c>
      <c r="G23">
        <v>155</v>
      </c>
      <c r="H23">
        <v>156</v>
      </c>
      <c r="I23">
        <v>-1</v>
      </c>
    </row>
    <row r="24" spans="1:16" x14ac:dyDescent="0.3">
      <c r="F24" s="5" t="s">
        <v>132</v>
      </c>
      <c r="G24">
        <v>110</v>
      </c>
      <c r="H24">
        <v>110</v>
      </c>
      <c r="I24">
        <v>0</v>
      </c>
    </row>
    <row r="25" spans="1:16" x14ac:dyDescent="0.3">
      <c r="F25" s="5" t="s">
        <v>133</v>
      </c>
      <c r="G25">
        <v>185</v>
      </c>
      <c r="H25">
        <v>185</v>
      </c>
      <c r="I25">
        <v>0</v>
      </c>
    </row>
    <row r="26" spans="1:16" x14ac:dyDescent="0.3">
      <c r="F26" s="5" t="s">
        <v>134</v>
      </c>
      <c r="G26">
        <v>48</v>
      </c>
      <c r="H26">
        <v>45</v>
      </c>
      <c r="I26">
        <v>3</v>
      </c>
    </row>
    <row r="27" spans="1:16" x14ac:dyDescent="0.3">
      <c r="B27" t="s">
        <v>135</v>
      </c>
      <c r="C27" t="s">
        <v>136</v>
      </c>
      <c r="F27" s="5" t="s">
        <v>121</v>
      </c>
      <c r="G27">
        <v>2938</v>
      </c>
      <c r="H27">
        <v>2966</v>
      </c>
      <c r="I27">
        <v>-28</v>
      </c>
    </row>
    <row r="28" spans="1:16" x14ac:dyDescent="0.3">
      <c r="B28" t="s">
        <v>117</v>
      </c>
      <c r="C28">
        <v>2938</v>
      </c>
    </row>
    <row r="29" spans="1:16" x14ac:dyDescent="0.3">
      <c r="B29" t="s">
        <v>118</v>
      </c>
      <c r="C29">
        <v>2966</v>
      </c>
    </row>
    <row r="30" spans="1:16" x14ac:dyDescent="0.3">
      <c r="B30" t="s">
        <v>119</v>
      </c>
      <c r="C30">
        <v>-28</v>
      </c>
    </row>
    <row r="32" spans="1:16" x14ac:dyDescent="0.3">
      <c r="P32" s="5"/>
    </row>
    <row r="33" spans="16:16" x14ac:dyDescent="0.3">
      <c r="P33" s="5"/>
    </row>
    <row r="34" spans="16:16" x14ac:dyDescent="0.3">
      <c r="P34" s="5"/>
    </row>
    <row r="35" spans="16:16" x14ac:dyDescent="0.3">
      <c r="P35" s="5"/>
    </row>
    <row r="36" spans="16:16" x14ac:dyDescent="0.3">
      <c r="P36" s="5"/>
    </row>
    <row r="37" spans="16:16" x14ac:dyDescent="0.3">
      <c r="P37" s="5"/>
    </row>
  </sheetData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Cost_Vs_Budget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Christu Raj</dc:creator>
  <cp:lastModifiedBy>John Christu Raj</cp:lastModifiedBy>
  <dcterms:created xsi:type="dcterms:W3CDTF">2026-01-17T06:41:56Z</dcterms:created>
  <dcterms:modified xsi:type="dcterms:W3CDTF">2026-01-22T15:52:02Z</dcterms:modified>
</cp:coreProperties>
</file>